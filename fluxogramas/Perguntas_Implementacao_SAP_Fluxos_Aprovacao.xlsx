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Geral" sheetId="2" state="visible" r:id="rId4"/>
    <sheet name="Movimentação de Pessoas" sheetId="3" state="visible" r:id="rId5"/>
    <sheet name="Transf. entre Empresas" sheetId="4" state="visible" r:id="rId6"/>
    <sheet name="Expatriação" sheetId="5" state="visible" r:id="rId7"/>
    <sheet name="Edição de Posição" sheetId="6" state="visible" r:id="rId8"/>
    <sheet name="Transf. de Setor" sheetId="7" state="visible" r:id="rId9"/>
  </sheets>
  <definedNames>
    <definedName function="false" hidden="false" localSheetId="5" name="_xlnm.Print_Titles" vbProcedure="false">'Edição de Posição'!$4:$4</definedName>
    <definedName function="false" hidden="true" localSheetId="5" name="_xlnm._FilterDatabase" vbProcedure="false">'Edição de Posição'!$A$4:$J$12</definedName>
    <definedName function="false" hidden="false" localSheetId="4" name="_xlnm.Print_Titles" vbProcedure="false">Expatriação!$4:$4</definedName>
    <definedName function="false" hidden="true" localSheetId="4" name="_xlnm._FilterDatabase" vbProcedure="false">Expatriação!$A$4:$J$14</definedName>
    <definedName function="false" hidden="false" localSheetId="1" name="_xlnm.Print_Titles" vbProcedure="false">Geral!$4:$4</definedName>
    <definedName function="false" hidden="true" localSheetId="1" name="_xlnm._FilterDatabase" vbProcedure="false">Geral!$A$4:$J$29</definedName>
    <definedName function="false" hidden="false" localSheetId="2" name="_xlnm.Print_Titles" vbProcedure="false">'Movimentação de Pessoas'!$4:$4</definedName>
    <definedName function="false" hidden="true" localSheetId="2" name="_xlnm._FilterDatabase" vbProcedure="false">'Movimentação de Pessoas'!$A$4:$J$16</definedName>
    <definedName function="false" hidden="false" localSheetId="6" name="_xlnm.Print_Titles" vbProcedure="false">'Transf. de Setor'!$4:$4</definedName>
    <definedName function="false" hidden="true" localSheetId="6" name="_xlnm._FilterDatabase" vbProcedure="false">'Transf. de Setor'!$A$4:$J$9</definedName>
    <definedName function="false" hidden="false" localSheetId="3" name="_xlnm.Print_Titles" vbProcedure="false">'Transf. entre Empresas'!$4:$4</definedName>
    <definedName function="false" hidden="true" localSheetId="3" name="_xlnm._FilterDatabase" vbProcedure="false">'Transf. entre Empresas'!$A$4:$J$14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<sst xmlns="http://schemas.openxmlformats.org/spreadsheetml/2006/main" count="666" uniqueCount="344">
  <si>
    <t xml:space="preserve">LEVANTAMENTO DE DÚVIDAS – IMPLEMENTAÇÃO DOS FLUXOS DE APROVAÇÃO NO SAP</t>
  </si>
  <si>
    <t xml:space="preserve">Perguntas levantadas a partir das 5 matrizes de regras e rotas (Movimentação de Pessoas, Transferência entre Empresas, Expatriação, Edição de Posição Disponível e Transferência de Setor), separadas por motivo e evento.</t>
  </si>
  <si>
    <t xml:space="preserve">Aba</t>
  </si>
  <si>
    <t xml:space="preserve">Motivo</t>
  </si>
  <si>
    <t xml:space="preserve">Perguntas</t>
  </si>
  <si>
    <t xml:space="preserve">Alta</t>
  </si>
  <si>
    <t xml:space="preserve">Média</t>
  </si>
  <si>
    <t xml:space="preserve">Baixa</t>
  </si>
  <si>
    <t xml:space="preserve">Respondidas</t>
  </si>
  <si>
    <t xml:space="preserve">% respondidas</t>
  </si>
  <si>
    <t xml:space="preserve">Geral</t>
  </si>
  <si>
    <t xml:space="preserve">Transversal (vale para todos os motivos)</t>
  </si>
  <si>
    <t xml:space="preserve">Movimentação de Pessoas</t>
  </si>
  <si>
    <t xml:space="preserve">MOVIMENTAÇÃO DE PESSOAS</t>
  </si>
  <si>
    <t xml:space="preserve">Transf. entre Empresas</t>
  </si>
  <si>
    <t xml:space="preserve">TRANSFERÊNCIA ENTRE EMPRESAS</t>
  </si>
  <si>
    <t xml:space="preserve">Expatriação</t>
  </si>
  <si>
    <t xml:space="preserve">EXPATRIAÇÃO</t>
  </si>
  <si>
    <t xml:space="preserve">Edição de Posição</t>
  </si>
  <si>
    <t xml:space="preserve">EDIÇÃO DE POSIÇÃO DISPONÍVEL</t>
  </si>
  <si>
    <t xml:space="preserve">Transf. de Setor</t>
  </si>
  <si>
    <t xml:space="preserve">TRANSFERÊNCIA DE SETOR</t>
  </si>
  <si>
    <t xml:space="preserve">TOTAL</t>
  </si>
  <si>
    <t xml:space="preserve">COMO USAR</t>
  </si>
  <si>
    <t xml:space="preserve">Colunas amarelas</t>
  </si>
  <si>
    <t xml:space="preserve">Resposta da área, Responsável e Status são as únicas colunas para preencher em cada aba.</t>
  </si>
  <si>
    <t xml:space="preserve">Status</t>
  </si>
  <si>
    <t xml:space="preserve">Pendente → Em análise → Respondida (lista suspensa). O resumo acima é atualizado automaticamente.</t>
  </si>
  <si>
    <t xml:space="preserve">Prioridade</t>
  </si>
  <si>
    <t xml:space="preserve">Alta = bloqueia a configuração da regra ou do workflow · Média = necessária antes dos testes · Baixa = confirmação.</t>
  </si>
  <si>
    <t xml:space="preserve">Exemplo de resposta</t>
  </si>
  <si>
    <t xml:space="preserve">Ex. para G-06: "MOI/MOD vem do campo 'Classe de empregado' da posição de destino. Todo registro tem valor." – Responsável: C&amp;R – Status: Respondida.</t>
  </si>
  <si>
    <t xml:space="preserve">Evento 'Todos'</t>
  </si>
  <si>
    <t xml:space="preserve">Pergunta que vale para todos os eventos do motivo.</t>
  </si>
  <si>
    <t xml:space="preserve">PERGUNTAS PARA IMPLEMENTAÇÃO NO SAP – Geral – todos os motivos</t>
  </si>
  <si>
    <t xml:space="preserve">Preencha as colunas amarelas (Resposta da área, Responsável e Status). Use o filtro da coluna 'Evento (C&amp;R)' para ver as perguntas de cada evento.</t>
  </si>
  <si>
    <t xml:space="preserve">ID</t>
  </si>
  <si>
    <t xml:space="preserve">Evento (C&amp;R)</t>
  </si>
  <si>
    <t xml:space="preserve">Tema</t>
  </si>
  <si>
    <t xml:space="preserve">Pergunta</t>
  </si>
  <si>
    <t xml:space="preserve">Contexto / evidência na matriz</t>
  </si>
  <si>
    <t xml:space="preserve">Impacto na implementação SAP</t>
  </si>
  <si>
    <t xml:space="preserve">Resposta da área</t>
  </si>
  <si>
    <t xml:space="preserve">Responsável</t>
  </si>
  <si>
    <t xml:space="preserve">G-01</t>
  </si>
  <si>
    <t xml:space="preserve">Todos</t>
  </si>
  <si>
    <t xml:space="preserve">Gatilho e classificação</t>
  </si>
  <si>
    <t xml:space="preserve">Quem define o Evento (C&amp;R): o sistema deriva automaticamente a partir do Motivo escolhido pelo gestor e dos dados alterados, ou o C&amp;R seleciona/reclassifica o evento depois que a solicitação é aberta?</t>
  </si>
  <si>
    <t xml:space="preserve">Todas as matrizes têm colunas separadas para 'Motivo (Gestor)' e 'Evento (C&amp;R)'.</t>
  </si>
  <si>
    <t xml:space="preserve">Define se o evento é um campo escolhido na tela (event reason) ou uma regra de derivação. Se o C&amp;R reclassificar no meio do processo, a rota muda durante o workflow.</t>
  </si>
  <si>
    <t xml:space="preserve">Pendente</t>
  </si>
  <si>
    <t xml:space="preserve">G-02</t>
  </si>
  <si>
    <t xml:space="preserve">Quais são os códigos SAP (ação/evento e motivo) de cada evento de cada motivo?</t>
  </si>
  <si>
    <t xml:space="preserve">Só a matriz de Transferência de Setor informa código (Z2-2H). As outras 4 matrizes não trazem códigos.</t>
  </si>
  <si>
    <t xml:space="preserve">Sem os códigos não é possível vincular cada regra ao evento/motivo configurado nem ao workflow correspondente.</t>
  </si>
  <si>
    <t xml:space="preserve">G-03</t>
  </si>
  <si>
    <t xml:space="preserve">Quando a mesma solicitação altera vários dados ao mesmo tempo (ex.: cargo + setor + gestor), qual evento prevalece? Existe ordem de precedência entre os motivos (ex.: Movimentação de Pessoas × Transferência de Setor)?</t>
  </si>
  <si>
    <t xml:space="preserve">Movimentação de Pessoas cobre troca de cargo com mudança de setor; Transferência de Setor cobre mudança de setor sem coluna de cargo.</t>
  </si>
  <si>
    <t xml:space="preserve">Evita que uma mesma alteração caia em dois workflows ou no workflow errado; define regra de prioridade na derivação.</t>
  </si>
  <si>
    <t xml:space="preserve">G-04</t>
  </si>
  <si>
    <t xml:space="preserve">O que o sistema deve fazer quando ocorrer uma combinação de condições que não está na matriz: bloquear a solicitação, aplicar uma rota padrão (qual?) ou a combinação é impossível no cadastro?</t>
  </si>
  <si>
    <t xml:space="preserve">As matrizes listam apenas combinações específicas. Ex.: nenhuma matriz tem 'Muda filial = SIM' com 'Muda setor = NÃO'; Transferência entre Empresas só tem SIM/SIM.</t>
  </si>
  <si>
    <t xml:space="preserve">Toda regra de workflow precisa de um 'senão'. Sem ele, a solicitação fica sem aprovador ou vai para uma rota errada.</t>
  </si>
  <si>
    <t xml:space="preserve">G-05</t>
  </si>
  <si>
    <t xml:space="preserve">Se os dados forem alterados durante a aprovação (ex.: após uma devolução, a mão de obra de destino muda de MOD para MOI), a rota deve ser recalculada ou mantém a rota original?</t>
  </si>
  <si>
    <t xml:space="preserve">As rotas dependem de MOI/MOD, gestor, natureza e evento – dados que podem ser corrigidos na devolução.</t>
  </si>
  <si>
    <t xml:space="preserve">Define se o workflow é reavaliado a cada reenvio.</t>
  </si>
  <si>
    <t xml:space="preserve">G-06</t>
  </si>
  <si>
    <t xml:space="preserve">Campos de decisão</t>
  </si>
  <si>
    <t xml:space="preserve">Qual campo do SAP define a mão de obra de destino (MOI/MOD)? É lido da posição de destino, do cargo de destino, do centro de custo ou da classe de empregado? Pode existir registro sem classificação?</t>
  </si>
  <si>
    <t xml:space="preserve">Todas as matrizes usam 'Mão de obra de destino é MOI' e 'é MOD' como critério de rota (acrescenta cópia para Controladoria e Folha).</t>
  </si>
  <si>
    <t xml:space="preserve">É o critério que mais separa rotas; precisa de um campo único e confiável para a regra de workflow.</t>
  </si>
  <si>
    <t xml:space="preserve">G-07</t>
  </si>
  <si>
    <t xml:space="preserve">Em qual campo fica a 'natureza do cargo' e existe uma tabela mestre com a natureza de cada cargo? Quem mantém essa tabela?</t>
  </si>
  <si>
    <t xml:space="preserve">As colunas 'Natureza do cargo atual/proposto' trazem listas de cargos (Carreira Y, Coordenação, Diretoria etc.).</t>
  </si>
  <si>
    <t xml:space="preserve">Sem um campo/tabela de natureza, a regra teria que comparar textos de cargo – frágil e de difícil manutenção.</t>
  </si>
  <si>
    <t xml:space="preserve">G-08</t>
  </si>
  <si>
    <t xml:space="preserve">As listas de natureza não são complementares. Qual é a lista oficial e o nome exato de cada valor no SAP?</t>
  </si>
  <si>
    <t xml:space="preserve">A lista 'É diferente de...' exclui LÍDER PROC. PRODUÇÃO e LÍDER PROC. TEC/ADM, mas a lista de gestão inclui LÍDER DE PROCESSOS INDUSTRIAIS, LÍDER DE ENGENHARIA, LÍDER LOGÍSTICA e LÍDER OPERACIONAL. Um 'Líder Logística' se enquadra nas duas listas ao mesmo tempo.</t>
  </si>
  <si>
    <t xml:space="preserve">Listas sobrepostas geram duas rotas possíveis para o mesmo colaborador.</t>
  </si>
  <si>
    <t xml:space="preserve">G-09</t>
  </si>
  <si>
    <t xml:space="preserve">Há três agrupamentos de gestão: (1) lista completa, (2) lista restrita – Carreira Y, Coordenação, Diretoria, Gerência, Gerência Executiva, Supervisão – e (3) Liderança – Engenheiro Líder, Líder Proc. Produção, Líder Proc. Tec/Adm. Em qual agrupamento cada cargo se enquadra?</t>
  </si>
  <si>
    <t xml:space="preserve">Engenheiro Líder aparece na lista completa de gestão e também na lista de Liderança.</t>
  </si>
  <si>
    <t xml:space="preserve">Define se a promoção é 'Gestão / Carreira Y' ou 'Liderança' e, portanto, se a rota tem ou não Compliance e DHO.</t>
  </si>
  <si>
    <t xml:space="preserve">G-10</t>
  </si>
  <si>
    <t xml:space="preserve">As colunas 'Natureza atual/destino é de gestão?' (SIM/NÃO) e as colunas com a lista de natureza podem divergir? Se divergirem, qual prevalece?</t>
  </si>
  <si>
    <t xml:space="preserve">As duas informações aparecem em colunas separadas em Movimentação, Transferência entre Empresas e Expatriação.</t>
  </si>
  <si>
    <t xml:space="preserve">Evita regras redundantes; se uma derivar da outra, basta configurar uma.</t>
  </si>
  <si>
    <t xml:space="preserve">G-11</t>
  </si>
  <si>
    <t xml:space="preserve">Como o sistema identifica 'Altera gestor?': comparação do gestor imediato antes/depois, mudança da posição superior ou outro campo? Troca de gestor por reestruturação (sem movimentação do colaborador) conta?</t>
  </si>
  <si>
    <t xml:space="preserve">'Altera gestor = SIM' inclui o Gestor Atual como 1º aprovador em todas as matrizes que têm essa coluna.</t>
  </si>
  <si>
    <t xml:space="preserve">Precisa de uma comparação objetiva entre o registro atual e o proposto.</t>
  </si>
  <si>
    <t xml:space="preserve">G-12</t>
  </si>
  <si>
    <t xml:space="preserve">Quais campos SAP correspondem a 'Filial' e 'Setor' (empresa, estabelecimento/location, departamento, centro de custo)? 'Setor' é departamento ou centro de custo?</t>
  </si>
  <si>
    <t xml:space="preserve">'Muda filial?' e 'Muda setor?' aparecem em todas as matrizes.</t>
  </si>
  <si>
    <t xml:space="preserve">Define a comparação que classifica a movimentação.</t>
  </si>
  <si>
    <t xml:space="preserve">G-13</t>
  </si>
  <si>
    <t xml:space="preserve">'Cargo "de" é diferente do "para"' compara o código do cargo ou também nível, grade ou título? Mudança só de nível/grade conta como troca de cargo?</t>
  </si>
  <si>
    <t xml:space="preserve">Coluna presente em Movimentação, Transferência entre Empresas, Expatriação e Edição de Posição.</t>
  </si>
  <si>
    <t xml:space="preserve">Define se promoções horizontais (mesmo cargo, outro nível) entram na regra.</t>
  </si>
  <si>
    <t xml:space="preserve">G-14</t>
  </si>
  <si>
    <t xml:space="preserve">Aprovadores</t>
  </si>
  <si>
    <t xml:space="preserve">Quem é o 'Gestor Solicitante': quem abre a solicitação ou o gestor de destino? Se ele for a mesma pessoa que o 'Gestor Atual', ou se a solicitação for aberta pelo RH, a etapa é pulada ou repetida?</t>
  </si>
  <si>
    <t xml:space="preserve">Gestor Solicitante é CONTRIBUINTE e Gestor Atual é APROVADOR em várias rotas.</t>
  </si>
  <si>
    <t xml:space="preserve">No SAP o solicitante normalmente não faz parte da cadeia de aprovação; precisa definir quem é resolvido nesse papel.</t>
  </si>
  <si>
    <t xml:space="preserve">G-15</t>
  </si>
  <si>
    <t xml:space="preserve">Os grupos (Treinamento, Medicina, Segurança do Trabalho, Carreira e Recompensa, Compliance, DHO, Controladoria, Folha de Pagamento, Mobilidade Corporativa) são únicos para a empresa inteira ou variam por empresa/filial? Se variam, vale a filial de ORIGEM ou de DESTINO? Quem mantém os membros?</t>
  </si>
  <si>
    <t xml:space="preserve">Todas as rotas usam esses grupos como aprovadores ou cópia.</t>
  </si>
  <si>
    <t xml:space="preserve">Define se serão grupos fixos ou grupos dinâmicos por organização – muda bastante a configuração e a manutenção.</t>
  </si>
  <si>
    <t xml:space="preserve">G-16</t>
  </si>
  <si>
    <t xml:space="preserve">O colaborador aprova a movimentação. Todos os colaboradores (inclusive MOD / chão de fábrica) têm acesso ao sistema? Se não, quem registra o aceite em nome dele?</t>
  </si>
  <si>
    <t xml:space="preserve">COLABORADOR – APROVADOR aparece em todas as rotas, exceto Edição de Posição.</t>
  </si>
  <si>
    <t xml:space="preserve">Sem acesso, o workflow para nessa etapa.</t>
  </si>
  <si>
    <t xml:space="preserve">G-17</t>
  </si>
  <si>
    <t xml:space="preserve">Carreira e Recompensa aparece no início e no fim da rota. É a mesma equipe? Qual o objetivo de cada etapa (ex.: validação × efetivação)? Pode ser pessoa diferente?</t>
  </si>
  <si>
    <t xml:space="preserve">Rotas de Movimentação, Transferência entre Empresas, Expatriação e Edição de Posição (rota A) têm C&amp;R duas vezes.</t>
  </si>
  <si>
    <t xml:space="preserve">Define se são dois grupos distintos ou o mesmo grupo aprovando duas vezes.</t>
  </si>
  <si>
    <t xml:space="preserve">G-18</t>
  </si>
  <si>
    <t xml:space="preserve">O que o CONTRIBUINTE pode fazer: apenas comentar ou também editar a solicitação? O workflow espera a contribuição ou segue direto?</t>
  </si>
  <si>
    <t xml:space="preserve">Gestor Solicitante é contribuinte em quase todas as rotas.</t>
  </si>
  <si>
    <t xml:space="preserve">Define o tipo de participação configurado na etapa.</t>
  </si>
  <si>
    <t xml:space="preserve">G-19</t>
  </si>
  <si>
    <t xml:space="preserve">Quando os destinatários em CÓPIA (Controladoria, Folha) devem ser notificados: na abertura, a cada etapa ou só na aprovação final?</t>
  </si>
  <si>
    <t xml:space="preserve">Rotas com MOI terminam com Controladoria e Folha de Pagamento em cópia.</t>
  </si>
  <si>
    <t xml:space="preserve">Define o momento da notificação.</t>
  </si>
  <si>
    <t xml:space="preserve">G-20</t>
  </si>
  <si>
    <t xml:space="preserve">Se a mesma pessoa aparece em mais de uma etapa (ex.: é membro de dois grupos ou é gestor atual e solicitante), a segunda aprovação deve ser automática?</t>
  </si>
  <si>
    <t xml:space="preserve">Várias rotas têm C&amp;R duas vezes e combinam gestor atual + gestor solicitante.</t>
  </si>
  <si>
    <t xml:space="preserve">Evita aprovações duplicadas pela mesma pessoa.</t>
  </si>
  <si>
    <t xml:space="preserve">G-21</t>
  </si>
  <si>
    <t xml:space="preserve">Regras do workflow</t>
  </si>
  <si>
    <t xml:space="preserve">A ordem das etapas é obrigatória ou algumas podem ser paralelas (ex.: Treinamento, Medicina e Segurança do Trabalho ao mesmo tempo)?</t>
  </si>
  <si>
    <t xml:space="preserve">A ordem também varia entre matrizes: em Edição de Posição, Segurança vem antes de Medicina; nas demais, Medicina vem antes.</t>
  </si>
  <si>
    <t xml:space="preserve">Workflow sequencial é o padrão; paralelismo exige desenho diferente. Confirmar se a diferença de ordem é intencional.</t>
  </si>
  <si>
    <t xml:space="preserve">G-22</t>
  </si>
  <si>
    <t xml:space="preserve">Na reprovação em qualquer etapa, a solicitação é encerrada ou devolvida ao solicitante? Ao reenviar, recomeça da 1ª etapa ou da etapa que reprovou?</t>
  </si>
  <si>
    <t xml:space="preserve">A matriz define apenas a sequência de aprovação.</t>
  </si>
  <si>
    <t xml:space="preserve">Regra de devolução/reprovação precisa ser configurada.</t>
  </si>
  <si>
    <t xml:space="preserve">G-23</t>
  </si>
  <si>
    <t xml:space="preserve">Há prazo (SLA), lembrete e escalonamento por etapa? O que acontece se o aprovador estiver ausente ou o grupo estiver sem membros (delegação/substituto)?</t>
  </si>
  <si>
    <t xml:space="preserve">Rotas com até 13 etapas.</t>
  </si>
  <si>
    <t xml:space="preserve">Rotas longas sem escalonamento tendem a ficar paradas.</t>
  </si>
  <si>
    <t xml:space="preserve">G-24</t>
  </si>
  <si>
    <t xml:space="preserve">Solicitações com data de vigência retroativa ou futura seguem a mesma rota? Existe prazo mínimo de antecedência? A alteração só é gravada após a última aprovação?</t>
  </si>
  <si>
    <t xml:space="preserve">A matriz não trata data de vigência.</t>
  </si>
  <si>
    <t xml:space="preserve">Impacta a validação da tela e o momento de efetivação.</t>
  </si>
  <si>
    <t xml:space="preserve">G-25</t>
  </si>
  <si>
    <t xml:space="preserve">A letra da rota vale só dentro de cada matriz? Ex.: a Rota A de Transferência de Setor (MOD + altera gestor) é diferente da Rota A de Movimentação de Pessoas (promoção de liderança).</t>
  </si>
  <si>
    <t xml:space="preserve">As letras A–H têm significados diferentes entre as matrizes.</t>
  </si>
  <si>
    <t xml:space="preserve">Confirma que as rotas serão configuradas por motivo e não compartilhadas.</t>
  </si>
  <si>
    <t xml:space="preserve">PERGUNTAS PARA IMPLEMENTAÇÃO NO SAP – MOVIMENTAÇÃO DE PESSOAS</t>
  </si>
  <si>
    <t xml:space="preserve">MP-01</t>
  </si>
  <si>
    <t xml:space="preserve">Escopo</t>
  </si>
  <si>
    <t xml:space="preserve">'Cargo "de" diferente do "para"' é SIM nas 84 regras. Uma movimentação sem troca de cargo (só filial/setor) pertence a outro motivo (ex.: Transferência de Setor Z2-2H)?</t>
  </si>
  <si>
    <t xml:space="preserve">Todas as regras de Movimentação de Pessoas têm troca de cargo.</t>
  </si>
  <si>
    <t xml:space="preserve">Define a fronteira entre este motivo e Transferência de Setor.</t>
  </si>
  <si>
    <t xml:space="preserve">MP-02</t>
  </si>
  <si>
    <t xml:space="preserve">As combinações de Muda filial / Muda setor são apenas NÃO/NÃO, NÃO/SIM e SIM/SIM. Mudar de filial sem mudar de setor é impossível ou está fora do escopo?</t>
  </si>
  <si>
    <t xml:space="preserve">Não há regra com Muda filial = SIM e Muda setor = NÃO.</t>
  </si>
  <si>
    <t xml:space="preserve">Precisa de validação na tela ou de rota padrão.</t>
  </si>
  <si>
    <t xml:space="preserve">MP-03</t>
  </si>
  <si>
    <t xml:space="preserve">Classificação do evento</t>
  </si>
  <si>
    <t xml:space="preserve">Qual critério objetivo diferencia 'Alteração de cargo' de 'Promoção' (nível/grade, faixa salarial, família de cargo)? O sistema valida a escolha ou confia na seleção?</t>
  </si>
  <si>
    <t xml:space="preserve">Os 5 eventos têm rotas diferentes: promoções de gestão/liderança incluem Compliance e DHO.</t>
  </si>
  <si>
    <t xml:space="preserve">Se o evento for escolhido errado, a rota sai sem Compliance/DHO.</t>
  </si>
  <si>
    <t xml:space="preserve">MP-04</t>
  </si>
  <si>
    <t xml:space="preserve">ALTERAÇÃO DE CARGO</t>
  </si>
  <si>
    <t xml:space="preserve">Não existe regra de Alteração de cargo de 'Não gestão → Gestão'. Esse caso deve ser bloqueado e forçar um evento de Promoção?</t>
  </si>
  <si>
    <t xml:space="preserve">As combinações de natureza em Alteração de cargo são: Não gestão → Não gestão, Gestão → Não gestão e Gestão → Gestão.</t>
  </si>
  <si>
    <t xml:space="preserve">Precisa de validação na tela ou de regra de derivação do evento.</t>
  </si>
  <si>
    <t xml:space="preserve">MP-05</t>
  </si>
  <si>
    <t xml:space="preserve">Rotas</t>
  </si>
  <si>
    <t xml:space="preserve">Movimentação lateral entre cargos de gestão (Gestão → Gestão) segue a rota base (C/D/G/H), sem Compliance e DHO. Está correto?</t>
  </si>
  <si>
    <t xml:space="preserve">Regras com Natureza atual e destino = gestão vão para C, D, G ou H.</t>
  </si>
  <si>
    <t xml:space="preserve">Confirma que Compliance/DHO só se aplicam a promoções.</t>
  </si>
  <si>
    <t xml:space="preserve">MP-06</t>
  </si>
  <si>
    <t xml:space="preserve">PROMOÇÃO DE CARGO (CARGO DE CONFIANÇA)</t>
  </si>
  <si>
    <t xml:space="preserve">Cargo de confiança e Gestão / Carreira Y usam a mesma lista de natureza de destino e as mesmas rotas (B/F). Como o sistema diferencia os dois eventos?</t>
  </si>
  <si>
    <t xml:space="preserve">As duas promoções têm destino Carreira Y, Coordenação, Diretoria, Gerência, Gerência Executiva, Supervisão.</t>
  </si>
  <si>
    <t xml:space="preserve">Sem um critério distinto, a derivação automática do evento não consegue separar os dois.</t>
  </si>
  <si>
    <t xml:space="preserve">MP-07</t>
  </si>
  <si>
    <t xml:space="preserve">Todas as regras têm mão de obra de destino MOI. Promoção para cargo de confiança com destino MOD é impossível? Deve ser bloqueada?</t>
  </si>
  <si>
    <t xml:space="preserve">Não há regra MOD para Cargo de confiança.</t>
  </si>
  <si>
    <t xml:space="preserve">Precisa de validação ou rota padrão.</t>
  </si>
  <si>
    <t xml:space="preserve">MP-08</t>
  </si>
  <si>
    <t xml:space="preserve">PROMOÇÃO DE CARGO (EQUIPES)</t>
  </si>
  <si>
    <t xml:space="preserve">Promoção (Equipes) usa exatamente as mesmas rotas de Alteração de cargo (C/D/G/H) e natureza Não gestão → Não gestão. Qual a diferença entre os dois eventos no sistema (só o código para relatórios e remuneração)?</t>
  </si>
  <si>
    <t xml:space="preserve">12 regras de Equipes, todas Não gestão → Não gestão.</t>
  </si>
  <si>
    <t xml:space="preserve">Se não houver diferença de fluxo, as duas regras podem compartilhar a mesma configuração.</t>
  </si>
  <si>
    <t xml:space="preserve">MP-09</t>
  </si>
  <si>
    <t xml:space="preserve">PROMOÇÃO DE CARGO (GESTÃO / CARREIRA Y)</t>
  </si>
  <si>
    <t xml:space="preserve">A natureza atual pode ser gestão (ex.: coordenador promovido a gerente). E se o destino for um cargo de gestão fora da lista restrita (ex.: Líder Logística)? Qual evento/rota aplicar?</t>
  </si>
  <si>
    <t xml:space="preserve">Destino sempre na lista restrita; origem pode ser Gestão ou Não gestão.</t>
  </si>
  <si>
    <t xml:space="preserve">Define a cobertura da regra.</t>
  </si>
  <si>
    <t xml:space="preserve">MP-10</t>
  </si>
  <si>
    <t xml:space="preserve">Todas as regras têm destino MOI. Promoção de gestão com destino MOD é impossível? Bloquear?</t>
  </si>
  <si>
    <t xml:space="preserve">Não há regra MOD para Gestão / Carreira Y.</t>
  </si>
  <si>
    <t xml:space="preserve">MP-11</t>
  </si>
  <si>
    <t xml:space="preserve">PROMOÇÃO DE CARGO (LIDERANÇA)</t>
  </si>
  <si>
    <t xml:space="preserve">A origem é sempre 'Não gestão'. O que acontece se um cargo de gestão ou de liderança for promovido para Engenheiro Líder / Líder Proc.?</t>
  </si>
  <si>
    <t xml:space="preserve">12 regras, todas Não gestão → Liderança.</t>
  </si>
  <si>
    <t xml:space="preserve">Define se o caso é bloqueado ou tem outra rota.</t>
  </si>
  <si>
    <t xml:space="preserve">MP-12</t>
  </si>
  <si>
    <t xml:space="preserve">Liderança MOD vai para A/E (sem cópias) e MOI para B/F (com cópia a Controladoria e Folha). Confirmar que as cópias dependem exclusivamente de MOI.</t>
  </si>
  <si>
    <t xml:space="preserve">Mesmo padrão das demais rotas da matriz.</t>
  </si>
  <si>
    <t xml:space="preserve">Valida a regra geral de cópia.</t>
  </si>
  <si>
    <t xml:space="preserve">PERGUNTAS PARA IMPLEMENTAÇÃO NO SAP – TRANSFERÊNCIA ENTRE EMPRESAS</t>
  </si>
  <si>
    <t xml:space="preserve">TE-01</t>
  </si>
  <si>
    <t xml:space="preserve">No SAP, a transferência entre empresas será uma alteração no mesmo registro do colaborador ou um novo vínculo (desligamento na origem e admissão no destino)?</t>
  </si>
  <si>
    <t xml:space="preserve">Motivo específico, com Folha de Pagamento como aprovadora em todas as rotas.</t>
  </si>
  <si>
    <t xml:space="preserve">Muda o tipo de processo/workflow a configurar e quem consegue ver a solicitação.</t>
  </si>
  <si>
    <t xml:space="preserve">TE-02</t>
  </si>
  <si>
    <t xml:space="preserve">Os aprovadores de área (Treinamento, Medicina, Segurança, Folha, C&amp;R) são da empresa de ORIGEM ou de DESTINO? O Gestor Atual (empresa de origem) terá acesso à solicitação?</t>
  </si>
  <si>
    <t xml:space="preserve">Todas as regras têm Muda filial e Muda setor = SIM.</t>
  </si>
  <si>
    <t xml:space="preserve">Define a resolução dos grupos dinâmicos e as permissões entre empresas.</t>
  </si>
  <si>
    <t xml:space="preserve">TE-03</t>
  </si>
  <si>
    <t xml:space="preserve">A Folha de Pagamento aparece como APROVADORA (antes da última etapa de C&amp;R) e, nas rotas MOI, também em CÓPIA. É a mesma equipe? É intencional?</t>
  </si>
  <si>
    <t xml:space="preserve">Rotas B, D, F e H têm FOLHA DE PAGAMENTO – APROVADOR e FOLHA DE PAGAMENTO – CÓPIA.</t>
  </si>
  <si>
    <t xml:space="preserve">Evita notificação duplicada ou configura dois grupos diferentes.</t>
  </si>
  <si>
    <t xml:space="preserve">TE-04</t>
  </si>
  <si>
    <t xml:space="preserve">Não existem os eventos Promoção (Cargo de confiança) e Promoção (Equipes) neste motivo. Eles não se aplicam à transferência entre empresas ou faltam na matriz?</t>
  </si>
  <si>
    <t xml:space="preserve">Eventos presentes: Alteração de cargo; Alteração de empresa, filial e/ou setor; Promoção Gestão / Carreira Y; Promoção Liderança.</t>
  </si>
  <si>
    <t xml:space="preserve">Define a lista de eventos permitidos para este motivo.</t>
  </si>
  <si>
    <t xml:space="preserve">TE-05</t>
  </si>
  <si>
    <t xml:space="preserve">Muda filial e Muda setor são sempre SIM. Uma transferência para outra empresa mantendo a mesma filial física ou o mesmo setor é possível? Qual rota?</t>
  </si>
  <si>
    <t xml:space="preserve">As 32 regras têm SIM/SIM.</t>
  </si>
  <si>
    <t xml:space="preserve">TE-06</t>
  </si>
  <si>
    <t xml:space="preserve">Não existe regra de 'Não gestão → Gestão' em Alteração de cargo. Deve ser bloqueado e forçar Promoção?</t>
  </si>
  <si>
    <t xml:space="preserve">Combinações: Não gestão → Não gestão, Gestão → Não gestão, Gestão → Gestão.</t>
  </si>
  <si>
    <t xml:space="preserve">Validação de evento.</t>
  </si>
  <si>
    <t xml:space="preserve">TE-07</t>
  </si>
  <si>
    <t xml:space="preserve">ALTERAÇÃO DE EMPRESA, FILIAL E/OU SETOR</t>
  </si>
  <si>
    <t xml:space="preserve">Inconsistência na matriz</t>
  </si>
  <si>
    <t xml:space="preserve">A linha 24 (Gestão → Gestão restrita + MOI + altera gestor SIM) aponta para a Rota F (com Compliance e DHO), mas as demais regras com MOI + altera gestor SIM vão para a Rota H. A linha 24 está correta? Se sim, por que a linha 17 (mesma condição, sem alterar gestor) vai para D e não para B?</t>
  </si>
  <si>
    <t xml:space="preserve">Linha 24 → F; linhas 20 e 33 → H; linha 17 → D.</t>
  </si>
  <si>
    <t xml:space="preserve">Se estiver correta, a regra precisa de uma condição extra (natureza de destino); se não, corrigir para H.</t>
  </si>
  <si>
    <t xml:space="preserve">TE-08</t>
  </si>
  <si>
    <t xml:space="preserve">O cargo não muda (Cargo "de" ≠ "para" = NÃO), mas a natureza muda de 'Gestão (lista completa)' para 'Gestão (lista restrita)'. Como a natureza muda se o cargo é o mesmo? É a mesma natureza escrita de forma diferente?</t>
  </si>
  <si>
    <t xml:space="preserve">Linhas 16, 17, 23 e 24.</t>
  </si>
  <si>
    <t xml:space="preserve">Se a natureza vem do cargo, essas combinações não acontecem no sistema.</t>
  </si>
  <si>
    <t xml:space="preserve">TE-09</t>
  </si>
  <si>
    <t xml:space="preserve">Todas as regras são MOI. Promoção de gestão com destino MOD é impossível? Bloquear?</t>
  </si>
  <si>
    <t xml:space="preserve">4 regras, todas MOI.</t>
  </si>
  <si>
    <t xml:space="preserve">Validação ou rota padrão.</t>
  </si>
  <si>
    <t xml:space="preserve">TE-10</t>
  </si>
  <si>
    <t xml:space="preserve">A origem é sempre 'Não gestão'. O que fazer se a origem for gestão?</t>
  </si>
  <si>
    <t xml:space="preserve">4 regras, uma por rota (A, B, E, F).</t>
  </si>
  <si>
    <t xml:space="preserve">Define cobertura da regra.</t>
  </si>
  <si>
    <t xml:space="preserve">PERGUNTAS PARA IMPLEMENTAÇÃO NO SAP – EXPATRIAÇÃO</t>
  </si>
  <si>
    <t xml:space="preserve">EX-01</t>
  </si>
  <si>
    <t xml:space="preserve">No SAP, a expatriação será tratada como atribuição internacional (Global Assignment, mantendo o vínculo no país de origem) ou como uma movimentação/transferência comum?</t>
  </si>
  <si>
    <t xml:space="preserve">Motivo específico, com a etapa Mobilidade Corporativa em todas as rotas.</t>
  </si>
  <si>
    <t xml:space="preserve">Muda completamente o processo, os campos e o workflow a configurar.</t>
  </si>
  <si>
    <t xml:space="preserve">EX-02</t>
  </si>
  <si>
    <t xml:space="preserve">Mobilidade Corporativa é um grupo único global ou varia por país/empresa? Precisa ver dados específicos (país de destino, período, pacote de benefícios) para aprovar?</t>
  </si>
  <si>
    <t xml:space="preserve">MOBILIDADE CORPORATIVA – APROVADOR aparece em todas as 8 rotas, após Segurança do Trabalho.</t>
  </si>
  <si>
    <t xml:space="preserve">Define o grupo e os campos adicionais da solicitação.</t>
  </si>
  <si>
    <t xml:space="preserve">EX-03</t>
  </si>
  <si>
    <t xml:space="preserve">A rota não depende do país de destino nem da duração (curta × longa). Está correto? Existem exigências adicionais (vistos, exames médicos específicos)?</t>
  </si>
  <si>
    <t xml:space="preserve">A matriz não tem colunas de país ou duração.</t>
  </si>
  <si>
    <t xml:space="preserve">Se houver, a regra precisa de novos critérios.</t>
  </si>
  <si>
    <t xml:space="preserve">EX-04</t>
  </si>
  <si>
    <t xml:space="preserve">Existem regras com 'Muda filial = NÃO' e 'Muda setor = SIM'. Como uma expatriação ocorre sem mudar de filial, se o colaborador muda de país?</t>
  </si>
  <si>
    <t xml:space="preserve">Metade das regras tem NÃO/SIM.</t>
  </si>
  <si>
    <t xml:space="preserve">Esclarece o que 'filial' representa para expatriados.</t>
  </si>
  <si>
    <t xml:space="preserve">EX-05</t>
  </si>
  <si>
    <t xml:space="preserve">Folha de Pagamento aparece só como cópia (em Transferência entre Empresas ela aprova). A Folha notificada é a de origem, a de destino ou as duas?</t>
  </si>
  <si>
    <t xml:space="preserve">Rotas B, D, F e H.</t>
  </si>
  <si>
    <t xml:space="preserve">Define o destinatário da cópia.</t>
  </si>
  <si>
    <t xml:space="preserve">EX-06</t>
  </si>
  <si>
    <t xml:space="preserve">O retorno da expatriação (repatriação) segue esta mesma matriz ou terá regras próprias?</t>
  </si>
  <si>
    <t xml:space="preserve">A matriz trata apenas a ida.</t>
  </si>
  <si>
    <t xml:space="preserve">Pode exigir outro motivo/evento.</t>
  </si>
  <si>
    <t xml:space="preserve">EX-07</t>
  </si>
  <si>
    <t xml:space="preserve">Não existem os eventos Promoção (Cargo de confiança) e Promoção (Equipes) neste motivo. Eles não se aplicam à expatriação?</t>
  </si>
  <si>
    <t xml:space="preserve">Eventos presentes: Alteração de cargo; Alteração de filial e/ou setor; Promoção Gestão / Carreira Y; Promoção Liderança.</t>
  </si>
  <si>
    <t xml:space="preserve">Define a lista de eventos permitidos.</t>
  </si>
  <si>
    <t xml:space="preserve">EX-08</t>
  </si>
  <si>
    <t xml:space="preserve">As linhas 6 e 38 (MOD + altera gestor SIM + Gestão → Gestão) apontam para a Rota H, que tem as cópias de MOI (Controladoria e Folha). As demais regras MOD + altera gestor SIM vão para a Rota G. Está correto?</t>
  </si>
  <si>
    <t xml:space="preserve">Linhas 6 e 38 → H; linhas 4, 7, 36 e 39 → G.</t>
  </si>
  <si>
    <t xml:space="preserve">Se estiver correto, a regra de cópia passa a depender também da natureza; se não, corrigir para G.</t>
  </si>
  <si>
    <t xml:space="preserve">EX-09</t>
  </si>
  <si>
    <t xml:space="preserve">ALTERAÇÃO DE FILIAL E/OU SETOR</t>
  </si>
  <si>
    <t xml:space="preserve">O cargo não muda, mas a natureza muda de 'Gestão (lista completa)' para 'Gestão (lista restrita)'. É a mesma natureza escrita de forma diferente?</t>
  </si>
  <si>
    <t xml:space="preserve">Linhas 16, 17, 23, 24, 48, 49, 55 e 56.</t>
  </si>
  <si>
    <t xml:space="preserve">Se a natureza vem do cargo, essas combinações não acontecem.</t>
  </si>
  <si>
    <t xml:space="preserve">EX-10</t>
  </si>
  <si>
    <t xml:space="preserve">Todas as regras são MOI. Promoção de gestão com destino MOD durante a expatriação é impossível?</t>
  </si>
  <si>
    <t xml:space="preserve">8 regras, todas MOI.</t>
  </si>
  <si>
    <t xml:space="preserve">PERGUNTAS PARA IMPLEMENTAÇÃO NO SAP – EDIÇÃO DE POSIÇÃO DISPONÍVEL</t>
  </si>
  <si>
    <t xml:space="preserve">EP-01</t>
  </si>
  <si>
    <t xml:space="preserve">O processo edita a POSIÇÃO (e não o colaborador). Vale só para posições vagas ('disponíveis')? E se a posição tiver ocupante, qual processo se aplica?</t>
  </si>
  <si>
    <t xml:space="preserve">A rota não tem Colaborador, Gestor Atual nem Gestor Solicitante.</t>
  </si>
  <si>
    <t xml:space="preserve">Define o objeto do workflow (posição × colaborador) e a condição de entrada.</t>
  </si>
  <si>
    <t xml:space="preserve">EP-02</t>
  </si>
  <si>
    <t xml:space="preserve">Gatilho</t>
  </si>
  <si>
    <t xml:space="preserve">Quais campos da posição, quando editados, disparam o workflow? Editar um campo que não muda filial, setor, cargo ou mão de obra também exige aprovação?</t>
  </si>
  <si>
    <t xml:space="preserve">Linhas 2 (MOD) e 11 (MOI) não alteram filial, setor nem cargo e mesmo assim têm rota (C e B).</t>
  </si>
  <si>
    <t xml:space="preserve">Define a lista de campos que disparam aprovação.</t>
  </si>
  <si>
    <t xml:space="preserve">EP-03</t>
  </si>
  <si>
    <t xml:space="preserve">As rotas B e C têm exatamente a mesma sequência (C&amp;R → Segurança do Trabalho → Medicina). Podem ser unificadas em uma rota só?</t>
  </si>
  <si>
    <t xml:space="preserve">B: linhas 5 e 11 (MOI sem mudar setor); C: 6 regras MOD.</t>
  </si>
  <si>
    <t xml:space="preserve">Menos rotas para configurar e manter.</t>
  </si>
  <si>
    <t xml:space="preserve">EP-04</t>
  </si>
  <si>
    <t xml:space="preserve">Na Rota A (MOI + muda setor), Controladoria aprova (etapa 2) e depois recebe cópia (etapa 6), e C&amp;R aprova duas vezes (etapas 1 e 3). É intencional?</t>
  </si>
  <si>
    <t xml:space="preserve">Rota A: C&amp;R → Controladoria → C&amp;R → Segurança → Medicina → Controladoria (cópia) → Folha (cópia).</t>
  </si>
  <si>
    <t xml:space="preserve">Evita aprovação/notificação duplicada.</t>
  </si>
  <si>
    <t xml:space="preserve">EP-05</t>
  </si>
  <si>
    <t xml:space="preserve">Treinamento não participa desta rota (participa em todas as outras matrizes). Está correto?</t>
  </si>
  <si>
    <t xml:space="preserve">Nenhuma rota de Edição de Posição tem Treinamento.</t>
  </si>
  <si>
    <t xml:space="preserve">Confirma a composição da rota.</t>
  </si>
  <si>
    <t xml:space="preserve">EP-06</t>
  </si>
  <si>
    <t xml:space="preserve">Não há coluna 'Altera gestor?'. A troca da posição superior (a quem a posição reporta) dispara aprovação? De quem?</t>
  </si>
  <si>
    <t xml:space="preserve">A matriz tem só Muda filial, Muda setor, Cargo e MOI/MOD.</t>
  </si>
  <si>
    <t xml:space="preserve">Pode faltar um critério.</t>
  </si>
  <si>
    <t xml:space="preserve">EP-07</t>
  </si>
  <si>
    <t xml:space="preserve">'Mão de obra de destino' se refere à nova classificação da posição? A troca de MOD para MOI (ou o contrário) na própria posição tem tratamento específico?</t>
  </si>
  <si>
    <t xml:space="preserve">A regra usa apenas o valor de destino.</t>
  </si>
  <si>
    <t xml:space="preserve">Define o campo comparado.</t>
  </si>
  <si>
    <t xml:space="preserve">EP-08</t>
  </si>
  <si>
    <t xml:space="preserve">Criação de nova posição e extinção de posição fazem parte deste motivo ou têm fluxo próprio?</t>
  </si>
  <si>
    <t xml:space="preserve">A matriz trata apenas a edição.</t>
  </si>
  <si>
    <t xml:space="preserve">Pode exigir outros workflows.</t>
  </si>
  <si>
    <t xml:space="preserve">PERGUNTAS PARA IMPLEMENTAÇÃO NO SAP – TRANSFERÊNCIA DE SETOR</t>
  </si>
  <si>
    <t xml:space="preserve">TS-01</t>
  </si>
  <si>
    <t xml:space="preserve">ALTERAÇÃO DE SETOR (Z2-2H)</t>
  </si>
  <si>
    <t xml:space="preserve">Confirmar o código Z2-2H (ação Z2 / motivo 2H) e se outros códigos de transferência devem usar as mesmas regras.</t>
  </si>
  <si>
    <t xml:space="preserve">Única matriz com código informado.</t>
  </si>
  <si>
    <t xml:space="preserve">Vínculo do workflow ao evento correto.</t>
  </si>
  <si>
    <t xml:space="preserve">TS-02</t>
  </si>
  <si>
    <t xml:space="preserve">A matriz não tem colunas de cargo nem de natureza. Se a transferência de setor vier junto com uma troca de cargo, a solicitação deve ir para Movimentação de Pessoas?</t>
  </si>
  <si>
    <t xml:space="preserve">Movimentação de Pessoas cobre troca de cargo com mudança de setor.</t>
  </si>
  <si>
    <t xml:space="preserve">Regra de precedência entre motivos.</t>
  </si>
  <si>
    <t xml:space="preserve">TS-03</t>
  </si>
  <si>
    <t xml:space="preserve">Muda setor é sempre SIM e Muda filial pode ser SIM ou NÃO. Uma mudança só de filial (sem mudar setor) usa qual motivo?</t>
  </si>
  <si>
    <t xml:space="preserve">Combinações: NÃO/SIM e SIM/SIM.</t>
  </si>
  <si>
    <t xml:space="preserve">Validação ou outro motivo.</t>
  </si>
  <si>
    <t xml:space="preserve">TS-04</t>
  </si>
  <si>
    <t xml:space="preserve">Nesta matriz, Carreira e Recompensa aparece só no final (nas demais matrizes aparece também no início). Está correto?</t>
  </si>
  <si>
    <t xml:space="preserve">Rotas A–D terminam com C&amp;R e não começam com C&amp;R.</t>
  </si>
  <si>
    <t xml:space="preserve">TS-05</t>
  </si>
  <si>
    <t xml:space="preserve">O gestor de destino (solicitante) é só contribuinte e quem aprova é o gestor atual (quando o gestor muda). Está correto que o gestor de destino não aprova?</t>
  </si>
  <si>
    <t xml:space="preserve">Rotas A e B: Gestor Atual – aprovador; Gestor Solicitante – contribuinte.</t>
  </si>
  <si>
    <t xml:space="preserve">Define os papéis do workflow.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</si>
</sst>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C7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1F5AA6"/>
      <name val="Arial"/>
      <family val="0"/>
      <charset val="1"/>
    </font>
    <font>
      <b val="true"/>
      <sz val="10"/>
      <color rgb="FF123C7A"/>
      <name val="Arial"/>
      <family val="0"/>
      <charset val="1"/>
    </font>
    <font>
      <b val="true"/>
      <sz val="11"/>
      <color rgb="FF123C7A"/>
      <name val="Arial"/>
      <family val="0"/>
      <charset val="1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  <font>
      <i val="true"/>
      <sz val="9"/>
      <color rgb="FF5A64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3C7A"/>
        <bgColor rgb="FF333399"/>
      </patternFill>
    </fill>
    <fill>
      <patternFill patternType="solid">
        <fgColor rgb="FFE9F0F9"/>
        <bgColor rgb="FFE3F1E4"/>
      </patternFill>
    </fill>
    <fill>
      <patternFill patternType="solid">
        <fgColor rgb="FFFFF2CC"/>
        <bgColor rgb="FFFDEB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A"/>
      </left>
      <right style="thin">
        <color rgb="FFC9D6EA"/>
      </right>
      <top style="thin">
        <color rgb="FFC9D6EA"/>
      </top>
      <bottom style="thin">
        <color rgb="FFC9D6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23C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E4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DEBD3"/>
          <bgColor rgb="FF000000"/>
        </patternFill>
      </fill>
    </dxf>
    <dxf>
      <fill>
        <patternFill patternType="solid">
          <fgColor rgb="FF1E6B2B"/>
          <bgColor rgb="FF000000"/>
        </patternFill>
      </fill>
    </dxf>
    <dxf>
      <fill>
        <patternFill patternType="solid">
          <fgColor rgb="FF8A4B00"/>
          <bgColor rgb="FF000000"/>
        </patternFill>
      </fill>
    </dxf>
    <dxf>
      <fill>
        <patternFill patternType="solid">
          <fgColor rgb="FF8B1A1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8B1A1A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8A4B00"/>
      </font>
      <fill>
        <patternFill>
          <bgColor rgb="FFFDEBD3"/>
        </patternFill>
      </fill>
    </dxf>
    <dxf>
      <font>
        <name val="Arial"/>
        <charset val="1"/>
        <family val="0"/>
        <b val="1"/>
        <color rgb="FF1E6B2B"/>
      </font>
      <fill>
        <patternFill>
          <bgColor rgb="FFE3F1E4"/>
        </patternFill>
      </fill>
    </dxf>
    <dxf>
      <fill>
        <patternFill>
          <bgColor rgb="FFE3F1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1A1A"/>
      <rgbColor rgb="FF1E6B2B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9F0F9"/>
      <rgbColor rgb="FF660066"/>
      <rgbColor rgb="FFFF8080"/>
      <rgbColor rgb="FF1F5AA6"/>
      <rgbColor rgb="FFC9D6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1E4"/>
      <rgbColor rgb="FFFDEBD3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A6478"/>
      <rgbColor rgb="FF969696"/>
      <rgbColor rgb="FF123C7A"/>
      <rgbColor rgb="FF339966"/>
      <rgbColor rgb="FF003300"/>
      <rgbColor rgb="FF333300"/>
      <rgbColor rgb="FF8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erguntas_Implementacao_SAP_Fluxos_Aprovacao.xlsx" TargetMode="External"/><Relationship Id="rId2" Type="http://schemas.openxmlformats.org/officeDocument/2006/relationships/hyperlink" Target="Perguntas_Implementacao_SAP_Fluxos_Aprovacao.xlsx" TargetMode="External"/><Relationship Id="rId3" Type="http://schemas.openxmlformats.org/officeDocument/2006/relationships/hyperlink" Target="Perguntas_Implementacao_SAP_Fluxos_Aprovacao.xlsx" TargetMode="External"/><Relationship Id="rId4" Type="http://schemas.openxmlformats.org/officeDocument/2006/relationships/hyperlink" Target="Perguntas_Implementacao_SAP_Fluxos_Aprovacao.xlsx" TargetMode="External"/><Relationship Id="rId5" Type="http://schemas.openxmlformats.org/officeDocument/2006/relationships/hyperlink" Target="Perguntas_Implementacao_SAP_Fluxos_Aprovacao.xlsx" TargetMode="External"/><Relationship Id="rId6" Type="http://schemas.openxmlformats.org/officeDocument/2006/relationships/hyperlink" Target="Perguntas_Implementacao_SAP_Fluxos_Aprovacao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6" min="4" style="0" width="9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6" t="n">
        <f aca="false">COUNTA(Geral!A5:A200)</f>
        <v>25</v>
      </c>
      <c r="D5" s="6" t="n">
        <f aca="false">COUNTIF(Geral!G5:G200,"Alta")</f>
        <v>14</v>
      </c>
      <c r="E5" s="6" t="n">
        <f aca="false">COUNTIF(Geral!G5:G200,"Média")</f>
        <v>10</v>
      </c>
      <c r="F5" s="6" t="n">
        <f aca="false">COUNTIF(Geral!G5:G200,"Baixa")</f>
        <v>1</v>
      </c>
      <c r="G5" s="6" t="n">
        <f aca="false">COUNTIF(Geral!J5:J200,"Respondida")</f>
        <v>0</v>
      </c>
      <c r="H5" s="7" t="n">
        <f aca="false">IF(C5=0,0,G5/C5)</f>
        <v>0</v>
      </c>
    </row>
    <row r="6" customFormat="false" ht="15" hidden="false" customHeight="false" outlineLevel="0" collapsed="false">
      <c r="A6" s="4" t="s">
        <v>12</v>
      </c>
      <c r="B6" s="5" t="s">
        <v>13</v>
      </c>
      <c r="C6" s="6" t="n">
        <f aca="false">COUNTA('Movimentação de Pessoas'!A5:A200)</f>
        <v>12</v>
      </c>
      <c r="D6" s="6" t="n">
        <f aca="false">COUNTIF('Movimentação de Pessoas'!G5:G200,"Alta")</f>
        <v>4</v>
      </c>
      <c r="E6" s="6" t="n">
        <f aca="false">COUNTIF('Movimentação de Pessoas'!G5:G200,"Média")</f>
        <v>7</v>
      </c>
      <c r="F6" s="6" t="n">
        <f aca="false">COUNTIF('Movimentação de Pessoas'!G5:G200,"Baixa")</f>
        <v>1</v>
      </c>
      <c r="G6" s="6" t="n">
        <f aca="false">COUNTIF('Movimentação de Pessoas'!J5:J200,"Respondida")</f>
        <v>0</v>
      </c>
      <c r="H6" s="7" t="n">
        <f aca="false">IF(C6=0,0,G6/C6)</f>
        <v>0</v>
      </c>
    </row>
    <row r="7" customFormat="false" ht="15" hidden="false" customHeight="false" outlineLevel="0" collapsed="false">
      <c r="A7" s="4" t="s">
        <v>14</v>
      </c>
      <c r="B7" s="5" t="s">
        <v>15</v>
      </c>
      <c r="C7" s="6" t="n">
        <f aca="false">COUNTA('Transf. entre Empresas'!A5:A200)</f>
        <v>10</v>
      </c>
      <c r="D7" s="6" t="n">
        <f aca="false">COUNTIF('Transf. entre Empresas'!G5:G200,"Alta")</f>
        <v>3</v>
      </c>
      <c r="E7" s="6" t="n">
        <f aca="false">COUNTIF('Transf. entre Empresas'!G5:G200,"Média")</f>
        <v>5</v>
      </c>
      <c r="F7" s="6" t="n">
        <f aca="false">COUNTIF('Transf. entre Empresas'!G5:G200,"Baixa")</f>
        <v>2</v>
      </c>
      <c r="G7" s="6" t="n">
        <f aca="false">COUNTIF('Transf. entre Empresas'!J5:J200,"Respondida")</f>
        <v>0</v>
      </c>
      <c r="H7" s="7" t="n">
        <f aca="false">IF(C7=0,0,G7/C7)</f>
        <v>0</v>
      </c>
    </row>
    <row r="8" customFormat="false" ht="15" hidden="false" customHeight="false" outlineLevel="0" collapsed="false">
      <c r="A8" s="4" t="s">
        <v>16</v>
      </c>
      <c r="B8" s="5" t="s">
        <v>17</v>
      </c>
      <c r="C8" s="6" t="n">
        <f aca="false">COUNTA(Expatriação!A5:A200)</f>
        <v>10</v>
      </c>
      <c r="D8" s="6" t="n">
        <f aca="false">COUNTIF(Expatriação!G5:G200,"Alta")</f>
        <v>3</v>
      </c>
      <c r="E8" s="6" t="n">
        <f aca="false">COUNTIF(Expatriação!G5:G200,"Média")</f>
        <v>5</v>
      </c>
      <c r="F8" s="6" t="n">
        <f aca="false">COUNTIF(Expatriação!G5:G200,"Baixa")</f>
        <v>2</v>
      </c>
      <c r="G8" s="6" t="n">
        <f aca="false">COUNTIF(Expatriação!J5:J200,"Respondida")</f>
        <v>0</v>
      </c>
      <c r="H8" s="7" t="n">
        <f aca="false">IF(C8=0,0,G8/C8)</f>
        <v>0</v>
      </c>
    </row>
    <row r="9" customFormat="false" ht="15" hidden="false" customHeight="false" outlineLevel="0" collapsed="false">
      <c r="A9" s="4" t="s">
        <v>18</v>
      </c>
      <c r="B9" s="5" t="s">
        <v>19</v>
      </c>
      <c r="C9" s="6" t="n">
        <f aca="false">COUNTA('Edição de Posição'!A5:A200)</f>
        <v>8</v>
      </c>
      <c r="D9" s="6" t="n">
        <f aca="false">COUNTIF('Edição de Posição'!G5:G200,"Alta")</f>
        <v>2</v>
      </c>
      <c r="E9" s="6" t="n">
        <f aca="false">COUNTIF('Edição de Posição'!G5:G200,"Média")</f>
        <v>4</v>
      </c>
      <c r="F9" s="6" t="n">
        <f aca="false">COUNTIF('Edição de Posição'!G5:G200,"Baixa")</f>
        <v>2</v>
      </c>
      <c r="G9" s="6" t="n">
        <f aca="false">COUNTIF('Edição de Posição'!J5:J200,"Respondida")</f>
        <v>0</v>
      </c>
      <c r="H9" s="7" t="n">
        <f aca="false">IF(C9=0,0,G9/C9)</f>
        <v>0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6" t="n">
        <f aca="false">COUNTA('Transf. de Setor'!A5:A200)</f>
        <v>5</v>
      </c>
      <c r="D10" s="6" t="n">
        <f aca="false">COUNTIF('Transf. de Setor'!G5:G200,"Alta")</f>
        <v>1</v>
      </c>
      <c r="E10" s="6" t="n">
        <f aca="false">COUNTIF('Transf. de Setor'!G5:G200,"Média")</f>
        <v>3</v>
      </c>
      <c r="F10" s="6" t="n">
        <f aca="false">COUNTIF('Transf. de Setor'!G5:G200,"Baixa")</f>
        <v>1</v>
      </c>
      <c r="G10" s="6" t="n">
        <f aca="false">COUNTIF('Transf. de Setor'!J5:J200,"Respondida")</f>
        <v>0</v>
      </c>
      <c r="H10" s="7" t="n">
        <f aca="false">IF(C10=0,0,G10/C10)</f>
        <v>0</v>
      </c>
    </row>
    <row r="11" customFormat="false" ht="15" hidden="false" customHeight="false" outlineLevel="0" collapsed="false">
      <c r="A11" s="8" t="s">
        <v>22</v>
      </c>
      <c r="B11" s="8"/>
      <c r="C11" s="9" t="n">
        <f aca="false">SUM(C5:C10)</f>
        <v>70</v>
      </c>
      <c r="D11" s="9" t="n">
        <f aca="false">SUM(D5:D10)</f>
        <v>27</v>
      </c>
      <c r="E11" s="9" t="n">
        <f aca="false">SUM(E5:E10)</f>
        <v>34</v>
      </c>
      <c r="F11" s="9" t="n">
        <f aca="false">SUM(F5:F10)</f>
        <v>9</v>
      </c>
      <c r="G11" s="9" t="n">
        <f aca="false">SUM(G5:G10)</f>
        <v>0</v>
      </c>
      <c r="H11" s="10" t="n">
        <f aca="false">IF(C11=0,0,G11/C11)</f>
        <v>0</v>
      </c>
    </row>
    <row r="13" customFormat="false" ht="15" hidden="false" customHeight="false" outlineLevel="0" collapsed="false">
      <c r="A13" s="11" t="s">
        <v>23</v>
      </c>
    </row>
    <row r="14" customFormat="false" ht="27.75" hidden="false" customHeight="true" outlineLevel="0" collapsed="false">
      <c r="A14" s="12" t="s">
        <v>24</v>
      </c>
      <c r="B14" s="13" t="s">
        <v>25</v>
      </c>
      <c r="C14" s="13"/>
      <c r="D14" s="13"/>
      <c r="E14" s="13"/>
      <c r="F14" s="13"/>
      <c r="G14" s="13"/>
      <c r="H14" s="13"/>
    </row>
    <row r="15" customFormat="false" ht="27.75" hidden="false" customHeight="true" outlineLevel="0" collapsed="false">
      <c r="A15" s="14" t="s">
        <v>26</v>
      </c>
      <c r="B15" s="13" t="s">
        <v>27</v>
      </c>
      <c r="C15" s="13"/>
      <c r="D15" s="13"/>
      <c r="E15" s="13"/>
      <c r="F15" s="13"/>
      <c r="G15" s="13"/>
      <c r="H15" s="13"/>
    </row>
    <row r="16" customFormat="false" ht="27.75" hidden="false" customHeight="true" outlineLevel="0" collapsed="false">
      <c r="A16" s="14" t="s">
        <v>28</v>
      </c>
      <c r="B16" s="13" t="s">
        <v>29</v>
      </c>
      <c r="C16" s="13"/>
      <c r="D16" s="13"/>
      <c r="E16" s="13"/>
      <c r="F16" s="13"/>
      <c r="G16" s="13"/>
      <c r="H16" s="13"/>
    </row>
    <row r="17" customFormat="false" ht="27.75" hidden="false" customHeight="true" outlineLevel="0" collapsed="false">
      <c r="A17" s="14" t="s">
        <v>30</v>
      </c>
      <c r="B17" s="13" t="s">
        <v>31</v>
      </c>
      <c r="C17" s="13"/>
      <c r="D17" s="13"/>
      <c r="E17" s="13"/>
      <c r="F17" s="13"/>
      <c r="G17" s="13"/>
      <c r="H17" s="13"/>
    </row>
    <row r="18" customFormat="false" ht="27.75" hidden="false" customHeight="true" outlineLevel="0" collapsed="false">
      <c r="A18" s="14" t="s">
        <v>32</v>
      </c>
      <c r="B18" s="13" t="s">
        <v>33</v>
      </c>
      <c r="C18" s="13"/>
      <c r="D18" s="13"/>
      <c r="E18" s="13"/>
      <c r="F18" s="13"/>
      <c r="G18" s="13"/>
      <c r="H18" s="13"/>
    </row>
  </sheetData>
  <mergeCells count="6">
    <mergeCell ref="A2:H2"/>
    <mergeCell ref="B14:H14"/>
    <mergeCell ref="B15:H15"/>
    <mergeCell ref="B16:H16"/>
    <mergeCell ref="B17:H17"/>
    <mergeCell ref="B18:H18"/>
  </mergeCells>
  <hyperlinks>
    <hyperlink ref="A5" r:id="rId1" location="'Geral'!A1" display="Geral"/>
    <hyperlink ref="A6" r:id="rId2" location="'Movimentação%20de%20Pessoas'!A1" display="Movimentação de Pessoas"/>
    <hyperlink ref="A7" r:id="rId3" location="'Transf.%20entre%20Empresas'!A1" display="Transf. entre Empresas"/>
    <hyperlink ref="A8" r:id="rId4" location="'Expatriação'!A1" display="Expatriação"/>
    <hyperlink ref="A9" r:id="rId5" location="'Edição%20de%20Posição'!A1" display="Edição de Posição"/>
    <hyperlink ref="A10" r:id="rId6" location="'Transf.%20de%20Setor'!A1" display="Transf. de Seto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45"/>
    <col collapsed="false" customWidth="true" hidden="false" outlineLevel="0" max="9" min="9" style="0" width="18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15" t="s">
        <v>35</v>
      </c>
    </row>
    <row r="4" customFormat="false" ht="30" hidden="false" customHeight="true" outlineLevel="0" collapsed="false">
      <c r="A4" s="16" t="s">
        <v>36</v>
      </c>
      <c r="B4" s="16" t="s">
        <v>37</v>
      </c>
      <c r="C4" s="16" t="s">
        <v>38</v>
      </c>
      <c r="D4" s="16" t="s">
        <v>39</v>
      </c>
      <c r="E4" s="16" t="s">
        <v>40</v>
      </c>
      <c r="F4" s="16" t="s">
        <v>41</v>
      </c>
      <c r="G4" s="16" t="s">
        <v>28</v>
      </c>
      <c r="H4" s="16" t="s">
        <v>42</v>
      </c>
      <c r="I4" s="16" t="s">
        <v>43</v>
      </c>
      <c r="J4" s="16" t="s">
        <v>26</v>
      </c>
    </row>
    <row r="5" customFormat="false" ht="46.25" hidden="false" customHeight="false" outlineLevel="0" collapsed="false">
      <c r="A5" s="17" t="s">
        <v>44</v>
      </c>
      <c r="B5" s="18" t="s">
        <v>45</v>
      </c>
      <c r="C5" s="18" t="s">
        <v>46</v>
      </c>
      <c r="D5" s="19" t="s">
        <v>47</v>
      </c>
      <c r="E5" s="18" t="s">
        <v>48</v>
      </c>
      <c r="F5" s="18" t="s">
        <v>49</v>
      </c>
      <c r="G5" s="17" t="s">
        <v>5</v>
      </c>
      <c r="H5" s="20"/>
      <c r="I5" s="20"/>
      <c r="J5" s="21" t="s">
        <v>50</v>
      </c>
    </row>
    <row r="6" customFormat="false" ht="35.05" hidden="false" customHeight="false" outlineLevel="0" collapsed="false">
      <c r="A6" s="17" t="s">
        <v>51</v>
      </c>
      <c r="B6" s="18" t="s">
        <v>45</v>
      </c>
      <c r="C6" s="18" t="s">
        <v>46</v>
      </c>
      <c r="D6" s="19" t="s">
        <v>52</v>
      </c>
      <c r="E6" s="18" t="s">
        <v>53</v>
      </c>
      <c r="F6" s="18" t="s">
        <v>54</v>
      </c>
      <c r="G6" s="17" t="s">
        <v>5</v>
      </c>
      <c r="H6" s="20"/>
      <c r="I6" s="20"/>
      <c r="J6" s="21" t="s">
        <v>50</v>
      </c>
    </row>
    <row r="7" customFormat="false" ht="46.25" hidden="false" customHeight="false" outlineLevel="0" collapsed="false">
      <c r="A7" s="17" t="s">
        <v>55</v>
      </c>
      <c r="B7" s="18" t="s">
        <v>45</v>
      </c>
      <c r="C7" s="18" t="s">
        <v>46</v>
      </c>
      <c r="D7" s="19" t="s">
        <v>56</v>
      </c>
      <c r="E7" s="18" t="s">
        <v>57</v>
      </c>
      <c r="F7" s="18" t="s">
        <v>58</v>
      </c>
      <c r="G7" s="17" t="s">
        <v>5</v>
      </c>
      <c r="H7" s="20"/>
      <c r="I7" s="20"/>
      <c r="J7" s="21" t="s">
        <v>50</v>
      </c>
    </row>
    <row r="8" customFormat="false" ht="46.25" hidden="false" customHeight="false" outlineLevel="0" collapsed="false">
      <c r="A8" s="17" t="s">
        <v>59</v>
      </c>
      <c r="B8" s="18" t="s">
        <v>45</v>
      </c>
      <c r="C8" s="18" t="s">
        <v>46</v>
      </c>
      <c r="D8" s="19" t="s">
        <v>60</v>
      </c>
      <c r="E8" s="18" t="s">
        <v>61</v>
      </c>
      <c r="F8" s="18" t="s">
        <v>62</v>
      </c>
      <c r="G8" s="17" t="s">
        <v>5</v>
      </c>
      <c r="H8" s="20"/>
      <c r="I8" s="20"/>
      <c r="J8" s="21" t="s">
        <v>50</v>
      </c>
    </row>
    <row r="9" customFormat="false" ht="35.05" hidden="false" customHeight="false" outlineLevel="0" collapsed="false">
      <c r="A9" s="17" t="s">
        <v>63</v>
      </c>
      <c r="B9" s="18" t="s">
        <v>45</v>
      </c>
      <c r="C9" s="18" t="s">
        <v>46</v>
      </c>
      <c r="D9" s="19" t="s">
        <v>64</v>
      </c>
      <c r="E9" s="18" t="s">
        <v>65</v>
      </c>
      <c r="F9" s="18" t="s">
        <v>66</v>
      </c>
      <c r="G9" s="17" t="s">
        <v>6</v>
      </c>
      <c r="H9" s="20"/>
      <c r="I9" s="20"/>
      <c r="J9" s="21" t="s">
        <v>50</v>
      </c>
    </row>
    <row r="10" customFormat="false" ht="46.25" hidden="false" customHeight="false" outlineLevel="0" collapsed="false">
      <c r="A10" s="17" t="s">
        <v>67</v>
      </c>
      <c r="B10" s="18" t="s">
        <v>45</v>
      </c>
      <c r="C10" s="18" t="s">
        <v>68</v>
      </c>
      <c r="D10" s="19" t="s">
        <v>69</v>
      </c>
      <c r="E10" s="18" t="s">
        <v>70</v>
      </c>
      <c r="F10" s="18" t="s">
        <v>71</v>
      </c>
      <c r="G10" s="17" t="s">
        <v>5</v>
      </c>
      <c r="H10" s="20"/>
      <c r="I10" s="20"/>
      <c r="J10" s="21" t="s">
        <v>50</v>
      </c>
    </row>
    <row r="11" customFormat="false" ht="35.05" hidden="false" customHeight="false" outlineLevel="0" collapsed="false">
      <c r="A11" s="17" t="s">
        <v>72</v>
      </c>
      <c r="B11" s="18" t="s">
        <v>45</v>
      </c>
      <c r="C11" s="18" t="s">
        <v>68</v>
      </c>
      <c r="D11" s="19" t="s">
        <v>73</v>
      </c>
      <c r="E11" s="18" t="s">
        <v>74</v>
      </c>
      <c r="F11" s="18" t="s">
        <v>75</v>
      </c>
      <c r="G11" s="17" t="s">
        <v>5</v>
      </c>
      <c r="H11" s="20"/>
      <c r="I11" s="20"/>
      <c r="J11" s="21" t="s">
        <v>50</v>
      </c>
    </row>
    <row r="12" customFormat="false" ht="79.85" hidden="false" customHeight="false" outlineLevel="0" collapsed="false">
      <c r="A12" s="17" t="s">
        <v>76</v>
      </c>
      <c r="B12" s="18" t="s">
        <v>45</v>
      </c>
      <c r="C12" s="18" t="s">
        <v>68</v>
      </c>
      <c r="D12" s="19" t="s">
        <v>77</v>
      </c>
      <c r="E12" s="18" t="s">
        <v>78</v>
      </c>
      <c r="F12" s="18" t="s">
        <v>79</v>
      </c>
      <c r="G12" s="17" t="s">
        <v>5</v>
      </c>
      <c r="H12" s="20"/>
      <c r="I12" s="20"/>
      <c r="J12" s="21" t="s">
        <v>50</v>
      </c>
    </row>
    <row r="13" customFormat="false" ht="57.45" hidden="false" customHeight="false" outlineLevel="0" collapsed="false">
      <c r="A13" s="17" t="s">
        <v>80</v>
      </c>
      <c r="B13" s="18" t="s">
        <v>45</v>
      </c>
      <c r="C13" s="18" t="s">
        <v>68</v>
      </c>
      <c r="D13" s="19" t="s">
        <v>81</v>
      </c>
      <c r="E13" s="18" t="s">
        <v>82</v>
      </c>
      <c r="F13" s="18" t="s">
        <v>83</v>
      </c>
      <c r="G13" s="17" t="s">
        <v>5</v>
      </c>
      <c r="H13" s="20"/>
      <c r="I13" s="20"/>
      <c r="J13" s="21" t="s">
        <v>50</v>
      </c>
    </row>
    <row r="14" customFormat="false" ht="35.05" hidden="false" customHeight="false" outlineLevel="0" collapsed="false">
      <c r="A14" s="17" t="s">
        <v>84</v>
      </c>
      <c r="B14" s="18" t="s">
        <v>45</v>
      </c>
      <c r="C14" s="18" t="s">
        <v>68</v>
      </c>
      <c r="D14" s="19" t="s">
        <v>85</v>
      </c>
      <c r="E14" s="18" t="s">
        <v>86</v>
      </c>
      <c r="F14" s="18" t="s">
        <v>87</v>
      </c>
      <c r="G14" s="17" t="s">
        <v>6</v>
      </c>
      <c r="H14" s="20"/>
      <c r="I14" s="20"/>
      <c r="J14" s="21" t="s">
        <v>50</v>
      </c>
    </row>
    <row r="15" customFormat="false" ht="46.25" hidden="false" customHeight="false" outlineLevel="0" collapsed="false">
      <c r="A15" s="17" t="s">
        <v>88</v>
      </c>
      <c r="B15" s="18" t="s">
        <v>45</v>
      </c>
      <c r="C15" s="18" t="s">
        <v>68</v>
      </c>
      <c r="D15" s="19" t="s">
        <v>89</v>
      </c>
      <c r="E15" s="18" t="s">
        <v>90</v>
      </c>
      <c r="F15" s="18" t="s">
        <v>91</v>
      </c>
      <c r="G15" s="17" t="s">
        <v>5</v>
      </c>
      <c r="H15" s="20"/>
      <c r="I15" s="20"/>
      <c r="J15" s="21" t="s">
        <v>50</v>
      </c>
    </row>
    <row r="16" customFormat="false" ht="35.05" hidden="false" customHeight="false" outlineLevel="0" collapsed="false">
      <c r="A16" s="17" t="s">
        <v>92</v>
      </c>
      <c r="B16" s="18" t="s">
        <v>45</v>
      </c>
      <c r="C16" s="18" t="s">
        <v>68</v>
      </c>
      <c r="D16" s="19" t="s">
        <v>93</v>
      </c>
      <c r="E16" s="18" t="s">
        <v>94</v>
      </c>
      <c r="F16" s="18" t="s">
        <v>95</v>
      </c>
      <c r="G16" s="17" t="s">
        <v>5</v>
      </c>
      <c r="H16" s="20"/>
      <c r="I16" s="20"/>
      <c r="J16" s="21" t="s">
        <v>50</v>
      </c>
    </row>
    <row r="17" customFormat="false" ht="35.05" hidden="false" customHeight="false" outlineLevel="0" collapsed="false">
      <c r="A17" s="17" t="s">
        <v>96</v>
      </c>
      <c r="B17" s="18" t="s">
        <v>45</v>
      </c>
      <c r="C17" s="18" t="s">
        <v>68</v>
      </c>
      <c r="D17" s="19" t="s">
        <v>97</v>
      </c>
      <c r="E17" s="18" t="s">
        <v>98</v>
      </c>
      <c r="F17" s="18" t="s">
        <v>99</v>
      </c>
      <c r="G17" s="17" t="s">
        <v>6</v>
      </c>
      <c r="H17" s="20"/>
      <c r="I17" s="20"/>
      <c r="J17" s="21" t="s">
        <v>50</v>
      </c>
    </row>
    <row r="18" customFormat="false" ht="35.05" hidden="false" customHeight="false" outlineLevel="0" collapsed="false">
      <c r="A18" s="17" t="s">
        <v>100</v>
      </c>
      <c r="B18" s="18" t="s">
        <v>45</v>
      </c>
      <c r="C18" s="18" t="s">
        <v>101</v>
      </c>
      <c r="D18" s="19" t="s">
        <v>102</v>
      </c>
      <c r="E18" s="18" t="s">
        <v>103</v>
      </c>
      <c r="F18" s="18" t="s">
        <v>104</v>
      </c>
      <c r="G18" s="17" t="s">
        <v>5</v>
      </c>
      <c r="H18" s="20"/>
      <c r="I18" s="20"/>
      <c r="J18" s="21" t="s">
        <v>50</v>
      </c>
    </row>
    <row r="19" customFormat="false" ht="57.45" hidden="false" customHeight="false" outlineLevel="0" collapsed="false">
      <c r="A19" s="17" t="s">
        <v>105</v>
      </c>
      <c r="B19" s="18" t="s">
        <v>45</v>
      </c>
      <c r="C19" s="18" t="s">
        <v>101</v>
      </c>
      <c r="D19" s="19" t="s">
        <v>106</v>
      </c>
      <c r="E19" s="18" t="s">
        <v>107</v>
      </c>
      <c r="F19" s="18" t="s">
        <v>108</v>
      </c>
      <c r="G19" s="17" t="s">
        <v>5</v>
      </c>
      <c r="H19" s="20"/>
      <c r="I19" s="20"/>
      <c r="J19" s="21" t="s">
        <v>50</v>
      </c>
    </row>
    <row r="20" customFormat="false" ht="35.05" hidden="false" customHeight="false" outlineLevel="0" collapsed="false">
      <c r="A20" s="17" t="s">
        <v>109</v>
      </c>
      <c r="B20" s="18" t="s">
        <v>45</v>
      </c>
      <c r="C20" s="18" t="s">
        <v>101</v>
      </c>
      <c r="D20" s="19" t="s">
        <v>110</v>
      </c>
      <c r="E20" s="18" t="s">
        <v>111</v>
      </c>
      <c r="F20" s="18" t="s">
        <v>112</v>
      </c>
      <c r="G20" s="17" t="s">
        <v>5</v>
      </c>
      <c r="H20" s="20"/>
      <c r="I20" s="20"/>
      <c r="J20" s="21" t="s">
        <v>50</v>
      </c>
    </row>
    <row r="21" customFormat="false" ht="35.05" hidden="false" customHeight="false" outlineLevel="0" collapsed="false">
      <c r="A21" s="17" t="s">
        <v>113</v>
      </c>
      <c r="B21" s="18" t="s">
        <v>45</v>
      </c>
      <c r="C21" s="18" t="s">
        <v>101</v>
      </c>
      <c r="D21" s="19" t="s">
        <v>114</v>
      </c>
      <c r="E21" s="18" t="s">
        <v>115</v>
      </c>
      <c r="F21" s="18" t="s">
        <v>116</v>
      </c>
      <c r="G21" s="17" t="s">
        <v>6</v>
      </c>
      <c r="H21" s="20"/>
      <c r="I21" s="20"/>
      <c r="J21" s="21" t="s">
        <v>50</v>
      </c>
    </row>
    <row r="22" customFormat="false" ht="35.05" hidden="false" customHeight="false" outlineLevel="0" collapsed="false">
      <c r="A22" s="17" t="s">
        <v>117</v>
      </c>
      <c r="B22" s="18" t="s">
        <v>45</v>
      </c>
      <c r="C22" s="18" t="s">
        <v>101</v>
      </c>
      <c r="D22" s="19" t="s">
        <v>118</v>
      </c>
      <c r="E22" s="18" t="s">
        <v>119</v>
      </c>
      <c r="F22" s="18" t="s">
        <v>120</v>
      </c>
      <c r="G22" s="17" t="s">
        <v>6</v>
      </c>
      <c r="H22" s="20"/>
      <c r="I22" s="20"/>
      <c r="J22" s="21" t="s">
        <v>50</v>
      </c>
    </row>
    <row r="23" customFormat="false" ht="23.85" hidden="false" customHeight="false" outlineLevel="0" collapsed="false">
      <c r="A23" s="17" t="s">
        <v>121</v>
      </c>
      <c r="B23" s="18" t="s">
        <v>45</v>
      </c>
      <c r="C23" s="18" t="s">
        <v>101</v>
      </c>
      <c r="D23" s="19" t="s">
        <v>122</v>
      </c>
      <c r="E23" s="18" t="s">
        <v>123</v>
      </c>
      <c r="F23" s="18" t="s">
        <v>124</v>
      </c>
      <c r="G23" s="17" t="s">
        <v>6</v>
      </c>
      <c r="H23" s="20"/>
      <c r="I23" s="20"/>
      <c r="J23" s="21" t="s">
        <v>50</v>
      </c>
    </row>
    <row r="24" customFormat="false" ht="35.05" hidden="false" customHeight="false" outlineLevel="0" collapsed="false">
      <c r="A24" s="17" t="s">
        <v>125</v>
      </c>
      <c r="B24" s="18" t="s">
        <v>45</v>
      </c>
      <c r="C24" s="18" t="s">
        <v>101</v>
      </c>
      <c r="D24" s="19" t="s">
        <v>126</v>
      </c>
      <c r="E24" s="18" t="s">
        <v>127</v>
      </c>
      <c r="F24" s="18" t="s">
        <v>128</v>
      </c>
      <c r="G24" s="17" t="s">
        <v>6</v>
      </c>
      <c r="H24" s="20"/>
      <c r="I24" s="20"/>
      <c r="J24" s="21" t="s">
        <v>50</v>
      </c>
    </row>
    <row r="25" customFormat="false" ht="35.05" hidden="false" customHeight="false" outlineLevel="0" collapsed="false">
      <c r="A25" s="17" t="s">
        <v>129</v>
      </c>
      <c r="B25" s="18" t="s">
        <v>45</v>
      </c>
      <c r="C25" s="18" t="s">
        <v>130</v>
      </c>
      <c r="D25" s="19" t="s">
        <v>131</v>
      </c>
      <c r="E25" s="18" t="s">
        <v>132</v>
      </c>
      <c r="F25" s="18" t="s">
        <v>133</v>
      </c>
      <c r="G25" s="17" t="s">
        <v>6</v>
      </c>
      <c r="H25" s="20"/>
      <c r="I25" s="20"/>
      <c r="J25" s="21" t="s">
        <v>50</v>
      </c>
    </row>
    <row r="26" customFormat="false" ht="35.05" hidden="false" customHeight="false" outlineLevel="0" collapsed="false">
      <c r="A26" s="17" t="s">
        <v>134</v>
      </c>
      <c r="B26" s="18" t="s">
        <v>45</v>
      </c>
      <c r="C26" s="18" t="s">
        <v>130</v>
      </c>
      <c r="D26" s="19" t="s">
        <v>135</v>
      </c>
      <c r="E26" s="18" t="s">
        <v>136</v>
      </c>
      <c r="F26" s="18" t="s">
        <v>137</v>
      </c>
      <c r="G26" s="17" t="s">
        <v>5</v>
      </c>
      <c r="H26" s="20"/>
      <c r="I26" s="20"/>
      <c r="J26" s="21" t="s">
        <v>50</v>
      </c>
    </row>
    <row r="27" customFormat="false" ht="35.05" hidden="false" customHeight="false" outlineLevel="0" collapsed="false">
      <c r="A27" s="17" t="s">
        <v>138</v>
      </c>
      <c r="B27" s="18" t="s">
        <v>45</v>
      </c>
      <c r="C27" s="18" t="s">
        <v>130</v>
      </c>
      <c r="D27" s="19" t="s">
        <v>139</v>
      </c>
      <c r="E27" s="18" t="s">
        <v>140</v>
      </c>
      <c r="F27" s="18" t="s">
        <v>141</v>
      </c>
      <c r="G27" s="17" t="s">
        <v>6</v>
      </c>
      <c r="H27" s="20"/>
      <c r="I27" s="20"/>
      <c r="J27" s="21" t="s">
        <v>50</v>
      </c>
    </row>
    <row r="28" customFormat="false" ht="35.05" hidden="false" customHeight="false" outlineLevel="0" collapsed="false">
      <c r="A28" s="17" t="s">
        <v>142</v>
      </c>
      <c r="B28" s="18" t="s">
        <v>45</v>
      </c>
      <c r="C28" s="18" t="s">
        <v>130</v>
      </c>
      <c r="D28" s="19" t="s">
        <v>143</v>
      </c>
      <c r="E28" s="18" t="s">
        <v>144</v>
      </c>
      <c r="F28" s="18" t="s">
        <v>145</v>
      </c>
      <c r="G28" s="17" t="s">
        <v>6</v>
      </c>
      <c r="H28" s="20"/>
      <c r="I28" s="20"/>
      <c r="J28" s="21" t="s">
        <v>50</v>
      </c>
    </row>
    <row r="29" customFormat="false" ht="35.05" hidden="false" customHeight="false" outlineLevel="0" collapsed="false">
      <c r="A29" s="17" t="s">
        <v>146</v>
      </c>
      <c r="B29" s="18" t="s">
        <v>45</v>
      </c>
      <c r="C29" s="18" t="s">
        <v>130</v>
      </c>
      <c r="D29" s="19" t="s">
        <v>147</v>
      </c>
      <c r="E29" s="18" t="s">
        <v>148</v>
      </c>
      <c r="F29" s="18" t="s">
        <v>149</v>
      </c>
      <c r="G29" s="17" t="s">
        <v>7</v>
      </c>
      <c r="H29" s="20"/>
      <c r="I29" s="20"/>
      <c r="J29" s="21" t="s">
        <v>50</v>
      </c>
    </row>
  </sheetData>
  <autoFilter ref="A4:J29"/>
  <conditionalFormatting sqref="G5:G29">
    <cfRule type="cellIs" priority="2" operator="equal" aboveAverage="0" equalAverage="0" bottom="0" percent="0" rank="0" text="" dxfId="10">
      <formula>"Alta"</formula>
    </cfRule>
    <cfRule type="cellIs" priority="3" operator="equal" aboveAverage="0" equalAverage="0" bottom="0" percent="0" rank="0" text="" dxfId="11">
      <formula>"Média"</formula>
    </cfRule>
    <cfRule type="cellIs" priority="4" operator="equal" aboveAverage="0" equalAverage="0" bottom="0" percent="0" rank="0" text="" dxfId="12">
      <formula>"Baixa"</formula>
    </cfRule>
  </conditionalFormatting>
  <conditionalFormatting sqref="J5:J29">
    <cfRule type="cellIs" priority="5" operator="equal" aboveAverage="0" equalAverage="0" bottom="0" percent="0" rank="0" text="" dxfId="13">
      <formula>"Respondida"</formula>
    </cfRule>
  </conditionalFormatting>
  <dataValidations count="2">
    <dataValidation allowBlank="false" errorStyle="stop" operator="between" showDropDown="false" showErrorMessage="false" showInputMessage="false" sqref="G5:G29" type="list">
      <formula1>"Alta,Média,Baixa"</formula1>
      <formula2>0</formula2>
    </dataValidation>
    <dataValidation allowBlank="false" errorStyle="stop" operator="between" showDropDown="false" showErrorMessage="false" showInputMessage="false" sqref="J5:J29" type="list">
      <formula1>"Pendente,Em análise,Respondida"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45"/>
    <col collapsed="false" customWidth="true" hidden="false" outlineLevel="0" max="9" min="9" style="0" width="18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15" t="s">
        <v>35</v>
      </c>
    </row>
    <row r="4" customFormat="false" ht="30" hidden="false" customHeight="true" outlineLevel="0" collapsed="false">
      <c r="A4" s="16" t="s">
        <v>36</v>
      </c>
      <c r="B4" s="16" t="s">
        <v>37</v>
      </c>
      <c r="C4" s="16" t="s">
        <v>38</v>
      </c>
      <c r="D4" s="16" t="s">
        <v>39</v>
      </c>
      <c r="E4" s="16" t="s">
        <v>40</v>
      </c>
      <c r="F4" s="16" t="s">
        <v>41</v>
      </c>
      <c r="G4" s="16" t="s">
        <v>28</v>
      </c>
      <c r="H4" s="16" t="s">
        <v>42</v>
      </c>
      <c r="I4" s="16" t="s">
        <v>43</v>
      </c>
      <c r="J4" s="16" t="s">
        <v>26</v>
      </c>
    </row>
    <row r="5" customFormat="false" ht="35.05" hidden="false" customHeight="false" outlineLevel="0" collapsed="false">
      <c r="A5" s="17" t="s">
        <v>151</v>
      </c>
      <c r="B5" s="18" t="s">
        <v>45</v>
      </c>
      <c r="C5" s="18" t="s">
        <v>152</v>
      </c>
      <c r="D5" s="19" t="s">
        <v>153</v>
      </c>
      <c r="E5" s="18" t="s">
        <v>154</v>
      </c>
      <c r="F5" s="18" t="s">
        <v>155</v>
      </c>
      <c r="G5" s="17" t="s">
        <v>5</v>
      </c>
      <c r="H5" s="20"/>
      <c r="I5" s="20"/>
      <c r="J5" s="21" t="s">
        <v>50</v>
      </c>
    </row>
    <row r="6" customFormat="false" ht="35.05" hidden="false" customHeight="false" outlineLevel="0" collapsed="false">
      <c r="A6" s="17" t="s">
        <v>156</v>
      </c>
      <c r="B6" s="18" t="s">
        <v>45</v>
      </c>
      <c r="C6" s="18" t="s">
        <v>152</v>
      </c>
      <c r="D6" s="19" t="s">
        <v>157</v>
      </c>
      <c r="E6" s="18" t="s">
        <v>158</v>
      </c>
      <c r="F6" s="18" t="s">
        <v>159</v>
      </c>
      <c r="G6" s="17" t="s">
        <v>6</v>
      </c>
      <c r="H6" s="20"/>
      <c r="I6" s="20"/>
      <c r="J6" s="21" t="s">
        <v>50</v>
      </c>
    </row>
    <row r="7" customFormat="false" ht="35.05" hidden="false" customHeight="false" outlineLevel="0" collapsed="false">
      <c r="A7" s="17" t="s">
        <v>160</v>
      </c>
      <c r="B7" s="18" t="s">
        <v>45</v>
      </c>
      <c r="C7" s="18" t="s">
        <v>161</v>
      </c>
      <c r="D7" s="19" t="s">
        <v>162</v>
      </c>
      <c r="E7" s="18" t="s">
        <v>163</v>
      </c>
      <c r="F7" s="18" t="s">
        <v>164</v>
      </c>
      <c r="G7" s="17" t="s">
        <v>5</v>
      </c>
      <c r="H7" s="20"/>
      <c r="I7" s="20"/>
      <c r="J7" s="21" t="s">
        <v>50</v>
      </c>
    </row>
    <row r="8" customFormat="false" ht="35.05" hidden="false" customHeight="false" outlineLevel="0" collapsed="false">
      <c r="A8" s="17" t="s">
        <v>165</v>
      </c>
      <c r="B8" s="18" t="s">
        <v>166</v>
      </c>
      <c r="C8" s="18" t="s">
        <v>161</v>
      </c>
      <c r="D8" s="19" t="s">
        <v>167</v>
      </c>
      <c r="E8" s="18" t="s">
        <v>168</v>
      </c>
      <c r="F8" s="18" t="s">
        <v>169</v>
      </c>
      <c r="G8" s="17" t="s">
        <v>5</v>
      </c>
      <c r="H8" s="20"/>
      <c r="I8" s="20"/>
      <c r="J8" s="21" t="s">
        <v>50</v>
      </c>
    </row>
    <row r="9" customFormat="false" ht="23.85" hidden="false" customHeight="false" outlineLevel="0" collapsed="false">
      <c r="A9" s="17" t="s">
        <v>170</v>
      </c>
      <c r="B9" s="18" t="s">
        <v>166</v>
      </c>
      <c r="C9" s="18" t="s">
        <v>171</v>
      </c>
      <c r="D9" s="19" t="s">
        <v>172</v>
      </c>
      <c r="E9" s="18" t="s">
        <v>173</v>
      </c>
      <c r="F9" s="18" t="s">
        <v>174</v>
      </c>
      <c r="G9" s="17" t="s">
        <v>6</v>
      </c>
      <c r="H9" s="20"/>
      <c r="I9" s="20"/>
      <c r="J9" s="21" t="s">
        <v>50</v>
      </c>
    </row>
    <row r="10" customFormat="false" ht="35.05" hidden="false" customHeight="false" outlineLevel="0" collapsed="false">
      <c r="A10" s="17" t="s">
        <v>175</v>
      </c>
      <c r="B10" s="18" t="s">
        <v>176</v>
      </c>
      <c r="C10" s="18" t="s">
        <v>161</v>
      </c>
      <c r="D10" s="19" t="s">
        <v>177</v>
      </c>
      <c r="E10" s="18" t="s">
        <v>178</v>
      </c>
      <c r="F10" s="18" t="s">
        <v>179</v>
      </c>
      <c r="G10" s="17" t="s">
        <v>5</v>
      </c>
      <c r="H10" s="20"/>
      <c r="I10" s="20"/>
      <c r="J10" s="21" t="s">
        <v>50</v>
      </c>
    </row>
    <row r="11" customFormat="false" ht="35.05" hidden="false" customHeight="false" outlineLevel="0" collapsed="false">
      <c r="A11" s="17" t="s">
        <v>180</v>
      </c>
      <c r="B11" s="18" t="s">
        <v>176</v>
      </c>
      <c r="C11" s="18" t="s">
        <v>171</v>
      </c>
      <c r="D11" s="19" t="s">
        <v>181</v>
      </c>
      <c r="E11" s="18" t="s">
        <v>182</v>
      </c>
      <c r="F11" s="18" t="s">
        <v>183</v>
      </c>
      <c r="G11" s="17" t="s">
        <v>6</v>
      </c>
      <c r="H11" s="20"/>
      <c r="I11" s="20"/>
      <c r="J11" s="21" t="s">
        <v>50</v>
      </c>
    </row>
    <row r="12" customFormat="false" ht="46.25" hidden="false" customHeight="false" outlineLevel="0" collapsed="false">
      <c r="A12" s="17" t="s">
        <v>184</v>
      </c>
      <c r="B12" s="18" t="s">
        <v>185</v>
      </c>
      <c r="C12" s="18" t="s">
        <v>161</v>
      </c>
      <c r="D12" s="19" t="s">
        <v>186</v>
      </c>
      <c r="E12" s="18" t="s">
        <v>187</v>
      </c>
      <c r="F12" s="18" t="s">
        <v>188</v>
      </c>
      <c r="G12" s="17" t="s">
        <v>6</v>
      </c>
      <c r="H12" s="20"/>
      <c r="I12" s="20"/>
      <c r="J12" s="21" t="s">
        <v>50</v>
      </c>
    </row>
    <row r="13" customFormat="false" ht="35.05" hidden="false" customHeight="false" outlineLevel="0" collapsed="false">
      <c r="A13" s="17" t="s">
        <v>189</v>
      </c>
      <c r="B13" s="18" t="s">
        <v>190</v>
      </c>
      <c r="C13" s="18" t="s">
        <v>161</v>
      </c>
      <c r="D13" s="19" t="s">
        <v>191</v>
      </c>
      <c r="E13" s="18" t="s">
        <v>192</v>
      </c>
      <c r="F13" s="18" t="s">
        <v>193</v>
      </c>
      <c r="G13" s="17" t="s">
        <v>6</v>
      </c>
      <c r="H13" s="20"/>
      <c r="I13" s="20"/>
      <c r="J13" s="21" t="s">
        <v>50</v>
      </c>
    </row>
    <row r="14" customFormat="false" ht="23.85" hidden="false" customHeight="false" outlineLevel="0" collapsed="false">
      <c r="A14" s="17" t="s">
        <v>194</v>
      </c>
      <c r="B14" s="18" t="s">
        <v>190</v>
      </c>
      <c r="C14" s="18" t="s">
        <v>171</v>
      </c>
      <c r="D14" s="19" t="s">
        <v>195</v>
      </c>
      <c r="E14" s="18" t="s">
        <v>196</v>
      </c>
      <c r="F14" s="18" t="s">
        <v>183</v>
      </c>
      <c r="G14" s="17" t="s">
        <v>6</v>
      </c>
      <c r="H14" s="20"/>
      <c r="I14" s="20"/>
      <c r="J14" s="21" t="s">
        <v>50</v>
      </c>
    </row>
    <row r="15" customFormat="false" ht="35.05" hidden="false" customHeight="false" outlineLevel="0" collapsed="false">
      <c r="A15" s="17" t="s">
        <v>197</v>
      </c>
      <c r="B15" s="18" t="s">
        <v>198</v>
      </c>
      <c r="C15" s="18" t="s">
        <v>161</v>
      </c>
      <c r="D15" s="19" t="s">
        <v>199</v>
      </c>
      <c r="E15" s="18" t="s">
        <v>200</v>
      </c>
      <c r="F15" s="18" t="s">
        <v>201</v>
      </c>
      <c r="G15" s="17" t="s">
        <v>6</v>
      </c>
      <c r="H15" s="20"/>
      <c r="I15" s="20"/>
      <c r="J15" s="21" t="s">
        <v>50</v>
      </c>
    </row>
    <row r="16" customFormat="false" ht="35.05" hidden="false" customHeight="false" outlineLevel="0" collapsed="false">
      <c r="A16" s="17" t="s">
        <v>202</v>
      </c>
      <c r="B16" s="18" t="s">
        <v>198</v>
      </c>
      <c r="C16" s="18" t="s">
        <v>171</v>
      </c>
      <c r="D16" s="19" t="s">
        <v>203</v>
      </c>
      <c r="E16" s="18" t="s">
        <v>204</v>
      </c>
      <c r="F16" s="18" t="s">
        <v>205</v>
      </c>
      <c r="G16" s="17" t="s">
        <v>7</v>
      </c>
      <c r="H16" s="20"/>
      <c r="I16" s="20"/>
      <c r="J16" s="21" t="s">
        <v>50</v>
      </c>
    </row>
  </sheetData>
  <autoFilter ref="A4:J16"/>
  <conditionalFormatting sqref="G5:G16">
    <cfRule type="cellIs" priority="2" operator="equal" aboveAverage="0" equalAverage="0" bottom="0" percent="0" rank="0" text="" dxfId="10">
      <formula>"Alta"</formula>
    </cfRule>
    <cfRule type="cellIs" priority="3" operator="equal" aboveAverage="0" equalAverage="0" bottom="0" percent="0" rank="0" text="" dxfId="11">
      <formula>"Média"</formula>
    </cfRule>
    <cfRule type="cellIs" priority="4" operator="equal" aboveAverage="0" equalAverage="0" bottom="0" percent="0" rank="0" text="" dxfId="12">
      <formula>"Baixa"</formula>
    </cfRule>
  </conditionalFormatting>
  <conditionalFormatting sqref="J5:J16">
    <cfRule type="cellIs" priority="5" operator="equal" aboveAverage="0" equalAverage="0" bottom="0" percent="0" rank="0" text="" dxfId="13">
      <formula>"Respondida"</formula>
    </cfRule>
  </conditionalFormatting>
  <dataValidations count="2">
    <dataValidation allowBlank="false" errorStyle="stop" operator="between" showDropDown="false" showErrorMessage="false" showInputMessage="false" sqref="G5:G16" type="list">
      <formula1>"Alta,Média,Baixa"</formula1>
      <formula2>0</formula2>
    </dataValidation>
    <dataValidation allowBlank="false" errorStyle="stop" operator="between" showDropDown="false" showErrorMessage="false" showInputMessage="false" sqref="J5:J16" type="list">
      <formula1>"Pendente,Em análise,Respondida"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45"/>
    <col collapsed="false" customWidth="true" hidden="false" outlineLevel="0" max="9" min="9" style="0" width="18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15" t="s">
        <v>35</v>
      </c>
    </row>
    <row r="4" customFormat="false" ht="30" hidden="false" customHeight="true" outlineLevel="0" collapsed="false">
      <c r="A4" s="16" t="s">
        <v>36</v>
      </c>
      <c r="B4" s="16" t="s">
        <v>37</v>
      </c>
      <c r="C4" s="16" t="s">
        <v>38</v>
      </c>
      <c r="D4" s="16" t="s">
        <v>39</v>
      </c>
      <c r="E4" s="16" t="s">
        <v>40</v>
      </c>
      <c r="F4" s="16" t="s">
        <v>41</v>
      </c>
      <c r="G4" s="16" t="s">
        <v>28</v>
      </c>
      <c r="H4" s="16" t="s">
        <v>42</v>
      </c>
      <c r="I4" s="16" t="s">
        <v>43</v>
      </c>
      <c r="J4" s="16" t="s">
        <v>26</v>
      </c>
    </row>
    <row r="5" customFormat="false" ht="35.05" hidden="false" customHeight="false" outlineLevel="0" collapsed="false">
      <c r="A5" s="17" t="s">
        <v>207</v>
      </c>
      <c r="B5" s="18" t="s">
        <v>45</v>
      </c>
      <c r="C5" s="18" t="s">
        <v>152</v>
      </c>
      <c r="D5" s="19" t="s">
        <v>208</v>
      </c>
      <c r="E5" s="18" t="s">
        <v>209</v>
      </c>
      <c r="F5" s="18" t="s">
        <v>210</v>
      </c>
      <c r="G5" s="17" t="s">
        <v>5</v>
      </c>
      <c r="H5" s="20"/>
      <c r="I5" s="20"/>
      <c r="J5" s="21" t="s">
        <v>50</v>
      </c>
    </row>
    <row r="6" customFormat="false" ht="35.05" hidden="false" customHeight="false" outlineLevel="0" collapsed="false">
      <c r="A6" s="17" t="s">
        <v>211</v>
      </c>
      <c r="B6" s="18" t="s">
        <v>45</v>
      </c>
      <c r="C6" s="18" t="s">
        <v>101</v>
      </c>
      <c r="D6" s="19" t="s">
        <v>212</v>
      </c>
      <c r="E6" s="18" t="s">
        <v>213</v>
      </c>
      <c r="F6" s="18" t="s">
        <v>214</v>
      </c>
      <c r="G6" s="17" t="s">
        <v>5</v>
      </c>
      <c r="H6" s="20"/>
      <c r="I6" s="20"/>
      <c r="J6" s="21" t="s">
        <v>50</v>
      </c>
    </row>
    <row r="7" customFormat="false" ht="35.05" hidden="false" customHeight="false" outlineLevel="0" collapsed="false">
      <c r="A7" s="17" t="s">
        <v>215</v>
      </c>
      <c r="B7" s="18" t="s">
        <v>45</v>
      </c>
      <c r="C7" s="18" t="s">
        <v>101</v>
      </c>
      <c r="D7" s="19" t="s">
        <v>216</v>
      </c>
      <c r="E7" s="18" t="s">
        <v>217</v>
      </c>
      <c r="F7" s="18" t="s">
        <v>218</v>
      </c>
      <c r="G7" s="17" t="s">
        <v>6</v>
      </c>
      <c r="H7" s="20"/>
      <c r="I7" s="20"/>
      <c r="J7" s="21" t="s">
        <v>50</v>
      </c>
    </row>
    <row r="8" customFormat="false" ht="35.05" hidden="false" customHeight="false" outlineLevel="0" collapsed="false">
      <c r="A8" s="17" t="s">
        <v>219</v>
      </c>
      <c r="B8" s="18" t="s">
        <v>45</v>
      </c>
      <c r="C8" s="18" t="s">
        <v>152</v>
      </c>
      <c r="D8" s="19" t="s">
        <v>220</v>
      </c>
      <c r="E8" s="18" t="s">
        <v>221</v>
      </c>
      <c r="F8" s="18" t="s">
        <v>222</v>
      </c>
      <c r="G8" s="17" t="s">
        <v>6</v>
      </c>
      <c r="H8" s="20"/>
      <c r="I8" s="20"/>
      <c r="J8" s="21" t="s">
        <v>50</v>
      </c>
    </row>
    <row r="9" customFormat="false" ht="35.05" hidden="false" customHeight="false" outlineLevel="0" collapsed="false">
      <c r="A9" s="17" t="s">
        <v>223</v>
      </c>
      <c r="B9" s="18" t="s">
        <v>45</v>
      </c>
      <c r="C9" s="18" t="s">
        <v>152</v>
      </c>
      <c r="D9" s="19" t="s">
        <v>224</v>
      </c>
      <c r="E9" s="18" t="s">
        <v>225</v>
      </c>
      <c r="F9" s="18" t="s">
        <v>183</v>
      </c>
      <c r="G9" s="17" t="s">
        <v>6</v>
      </c>
      <c r="H9" s="20"/>
      <c r="I9" s="20"/>
      <c r="J9" s="21" t="s">
        <v>50</v>
      </c>
    </row>
    <row r="10" customFormat="false" ht="23.85" hidden="false" customHeight="false" outlineLevel="0" collapsed="false">
      <c r="A10" s="17" t="s">
        <v>226</v>
      </c>
      <c r="B10" s="18" t="s">
        <v>166</v>
      </c>
      <c r="C10" s="18" t="s">
        <v>161</v>
      </c>
      <c r="D10" s="19" t="s">
        <v>227</v>
      </c>
      <c r="E10" s="18" t="s">
        <v>228</v>
      </c>
      <c r="F10" s="18" t="s">
        <v>229</v>
      </c>
      <c r="G10" s="17" t="s">
        <v>6</v>
      </c>
      <c r="H10" s="20"/>
      <c r="I10" s="20"/>
      <c r="J10" s="21" t="s">
        <v>50</v>
      </c>
    </row>
    <row r="11" customFormat="false" ht="57.45" hidden="false" customHeight="false" outlineLevel="0" collapsed="false">
      <c r="A11" s="17" t="s">
        <v>230</v>
      </c>
      <c r="B11" s="18" t="s">
        <v>231</v>
      </c>
      <c r="C11" s="18" t="s">
        <v>232</v>
      </c>
      <c r="D11" s="19" t="s">
        <v>233</v>
      </c>
      <c r="E11" s="18" t="s">
        <v>234</v>
      </c>
      <c r="F11" s="18" t="s">
        <v>235</v>
      </c>
      <c r="G11" s="17" t="s">
        <v>5</v>
      </c>
      <c r="H11" s="20"/>
      <c r="I11" s="20"/>
      <c r="J11" s="21" t="s">
        <v>50</v>
      </c>
    </row>
    <row r="12" customFormat="false" ht="46.25" hidden="false" customHeight="false" outlineLevel="0" collapsed="false">
      <c r="A12" s="17" t="s">
        <v>236</v>
      </c>
      <c r="B12" s="18" t="s">
        <v>231</v>
      </c>
      <c r="C12" s="18" t="s">
        <v>68</v>
      </c>
      <c r="D12" s="19" t="s">
        <v>237</v>
      </c>
      <c r="E12" s="18" t="s">
        <v>238</v>
      </c>
      <c r="F12" s="18" t="s">
        <v>239</v>
      </c>
      <c r="G12" s="17" t="s">
        <v>6</v>
      </c>
      <c r="H12" s="20"/>
      <c r="I12" s="20"/>
      <c r="J12" s="21" t="s">
        <v>50</v>
      </c>
    </row>
    <row r="13" customFormat="false" ht="23.85" hidden="false" customHeight="false" outlineLevel="0" collapsed="false">
      <c r="A13" s="17" t="s">
        <v>240</v>
      </c>
      <c r="B13" s="18" t="s">
        <v>190</v>
      </c>
      <c r="C13" s="18" t="s">
        <v>171</v>
      </c>
      <c r="D13" s="19" t="s">
        <v>241</v>
      </c>
      <c r="E13" s="18" t="s">
        <v>242</v>
      </c>
      <c r="F13" s="18" t="s">
        <v>243</v>
      </c>
      <c r="G13" s="17" t="s">
        <v>7</v>
      </c>
      <c r="H13" s="20"/>
      <c r="I13" s="20"/>
      <c r="J13" s="21" t="s">
        <v>50</v>
      </c>
    </row>
    <row r="14" customFormat="false" ht="23.85" hidden="false" customHeight="false" outlineLevel="0" collapsed="false">
      <c r="A14" s="17" t="s">
        <v>244</v>
      </c>
      <c r="B14" s="18" t="s">
        <v>198</v>
      </c>
      <c r="C14" s="18" t="s">
        <v>161</v>
      </c>
      <c r="D14" s="19" t="s">
        <v>245</v>
      </c>
      <c r="E14" s="18" t="s">
        <v>246</v>
      </c>
      <c r="F14" s="18" t="s">
        <v>247</v>
      </c>
      <c r="G14" s="17" t="s">
        <v>7</v>
      </c>
      <c r="H14" s="20"/>
      <c r="I14" s="20"/>
      <c r="J14" s="21" t="s">
        <v>50</v>
      </c>
    </row>
  </sheetData>
  <autoFilter ref="A4:J14"/>
  <conditionalFormatting sqref="G5:G14">
    <cfRule type="cellIs" priority="2" operator="equal" aboveAverage="0" equalAverage="0" bottom="0" percent="0" rank="0" text="" dxfId="10">
      <formula>"Alta"</formula>
    </cfRule>
    <cfRule type="cellIs" priority="3" operator="equal" aboveAverage="0" equalAverage="0" bottom="0" percent="0" rank="0" text="" dxfId="11">
      <formula>"Média"</formula>
    </cfRule>
    <cfRule type="cellIs" priority="4" operator="equal" aboveAverage="0" equalAverage="0" bottom="0" percent="0" rank="0" text="" dxfId="12">
      <formula>"Baixa"</formula>
    </cfRule>
  </conditionalFormatting>
  <conditionalFormatting sqref="J5:J14">
    <cfRule type="cellIs" priority="5" operator="equal" aboveAverage="0" equalAverage="0" bottom="0" percent="0" rank="0" text="" dxfId="13">
      <formula>"Respondida"</formula>
    </cfRule>
  </conditionalFormatting>
  <dataValidations count="2">
    <dataValidation allowBlank="false" errorStyle="stop" operator="between" showDropDown="false" showErrorMessage="false" showInputMessage="false" sqref="G5:G14" type="list">
      <formula1>"Alta,Média,Baixa"</formula1>
      <formula2>0</formula2>
    </dataValidation>
    <dataValidation allowBlank="false" errorStyle="stop" operator="between" showDropDown="false" showErrorMessage="false" showInputMessage="false" sqref="J5:J14" type="list">
      <formula1>"Pendente,Em análise,Respondida"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45"/>
    <col collapsed="false" customWidth="true" hidden="false" outlineLevel="0" max="9" min="9" style="0" width="18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15" t="s">
        <v>35</v>
      </c>
    </row>
    <row r="4" customFormat="false" ht="30" hidden="false" customHeight="true" outlineLevel="0" collapsed="false">
      <c r="A4" s="16" t="s">
        <v>36</v>
      </c>
      <c r="B4" s="16" t="s">
        <v>37</v>
      </c>
      <c r="C4" s="16" t="s">
        <v>38</v>
      </c>
      <c r="D4" s="16" t="s">
        <v>39</v>
      </c>
      <c r="E4" s="16" t="s">
        <v>40</v>
      </c>
      <c r="F4" s="16" t="s">
        <v>41</v>
      </c>
      <c r="G4" s="16" t="s">
        <v>28</v>
      </c>
      <c r="H4" s="16" t="s">
        <v>42</v>
      </c>
      <c r="I4" s="16" t="s">
        <v>43</v>
      </c>
      <c r="J4" s="16" t="s">
        <v>26</v>
      </c>
    </row>
    <row r="5" customFormat="false" ht="35.05" hidden="false" customHeight="false" outlineLevel="0" collapsed="false">
      <c r="A5" s="17" t="s">
        <v>249</v>
      </c>
      <c r="B5" s="18" t="s">
        <v>45</v>
      </c>
      <c r="C5" s="18" t="s">
        <v>152</v>
      </c>
      <c r="D5" s="19" t="s">
        <v>250</v>
      </c>
      <c r="E5" s="18" t="s">
        <v>251</v>
      </c>
      <c r="F5" s="18" t="s">
        <v>252</v>
      </c>
      <c r="G5" s="17" t="s">
        <v>5</v>
      </c>
      <c r="H5" s="20"/>
      <c r="I5" s="20"/>
      <c r="J5" s="21" t="s">
        <v>50</v>
      </c>
    </row>
    <row r="6" customFormat="false" ht="35.05" hidden="false" customHeight="false" outlineLevel="0" collapsed="false">
      <c r="A6" s="17" t="s">
        <v>253</v>
      </c>
      <c r="B6" s="18" t="s">
        <v>45</v>
      </c>
      <c r="C6" s="18" t="s">
        <v>101</v>
      </c>
      <c r="D6" s="19" t="s">
        <v>254</v>
      </c>
      <c r="E6" s="18" t="s">
        <v>255</v>
      </c>
      <c r="F6" s="18" t="s">
        <v>256</v>
      </c>
      <c r="G6" s="17" t="s">
        <v>5</v>
      </c>
      <c r="H6" s="20"/>
      <c r="I6" s="20"/>
      <c r="J6" s="21" t="s">
        <v>50</v>
      </c>
    </row>
    <row r="7" customFormat="false" ht="35.05" hidden="false" customHeight="false" outlineLevel="0" collapsed="false">
      <c r="A7" s="17" t="s">
        <v>257</v>
      </c>
      <c r="B7" s="18" t="s">
        <v>45</v>
      </c>
      <c r="C7" s="18" t="s">
        <v>68</v>
      </c>
      <c r="D7" s="19" t="s">
        <v>258</v>
      </c>
      <c r="E7" s="18" t="s">
        <v>259</v>
      </c>
      <c r="F7" s="18" t="s">
        <v>260</v>
      </c>
      <c r="G7" s="17" t="s">
        <v>6</v>
      </c>
      <c r="H7" s="20"/>
      <c r="I7" s="20"/>
      <c r="J7" s="21" t="s">
        <v>50</v>
      </c>
    </row>
    <row r="8" customFormat="false" ht="35.05" hidden="false" customHeight="false" outlineLevel="0" collapsed="false">
      <c r="A8" s="17" t="s">
        <v>261</v>
      </c>
      <c r="B8" s="18" t="s">
        <v>45</v>
      </c>
      <c r="C8" s="18" t="s">
        <v>152</v>
      </c>
      <c r="D8" s="19" t="s">
        <v>262</v>
      </c>
      <c r="E8" s="18" t="s">
        <v>263</v>
      </c>
      <c r="F8" s="18" t="s">
        <v>264</v>
      </c>
      <c r="G8" s="17" t="s">
        <v>6</v>
      </c>
      <c r="H8" s="20"/>
      <c r="I8" s="20"/>
      <c r="J8" s="21" t="s">
        <v>50</v>
      </c>
    </row>
    <row r="9" customFormat="false" ht="35.05" hidden="false" customHeight="false" outlineLevel="0" collapsed="false">
      <c r="A9" s="17" t="s">
        <v>265</v>
      </c>
      <c r="B9" s="18" t="s">
        <v>45</v>
      </c>
      <c r="C9" s="18" t="s">
        <v>101</v>
      </c>
      <c r="D9" s="19" t="s">
        <v>266</v>
      </c>
      <c r="E9" s="18" t="s">
        <v>267</v>
      </c>
      <c r="F9" s="18" t="s">
        <v>268</v>
      </c>
      <c r="G9" s="17" t="s">
        <v>6</v>
      </c>
      <c r="H9" s="20"/>
      <c r="I9" s="20"/>
      <c r="J9" s="21" t="s">
        <v>50</v>
      </c>
    </row>
    <row r="10" customFormat="false" ht="23.85" hidden="false" customHeight="false" outlineLevel="0" collapsed="false">
      <c r="A10" s="17" t="s">
        <v>269</v>
      </c>
      <c r="B10" s="18" t="s">
        <v>45</v>
      </c>
      <c r="C10" s="18" t="s">
        <v>152</v>
      </c>
      <c r="D10" s="19" t="s">
        <v>270</v>
      </c>
      <c r="E10" s="18" t="s">
        <v>271</v>
      </c>
      <c r="F10" s="18" t="s">
        <v>272</v>
      </c>
      <c r="G10" s="17" t="s">
        <v>6</v>
      </c>
      <c r="H10" s="20"/>
      <c r="I10" s="20"/>
      <c r="J10" s="21" t="s">
        <v>50</v>
      </c>
    </row>
    <row r="11" customFormat="false" ht="35.05" hidden="false" customHeight="false" outlineLevel="0" collapsed="false">
      <c r="A11" s="17" t="s">
        <v>273</v>
      </c>
      <c r="B11" s="18" t="s">
        <v>45</v>
      </c>
      <c r="C11" s="18" t="s">
        <v>152</v>
      </c>
      <c r="D11" s="19" t="s">
        <v>274</v>
      </c>
      <c r="E11" s="18" t="s">
        <v>275</v>
      </c>
      <c r="F11" s="18" t="s">
        <v>276</v>
      </c>
      <c r="G11" s="17" t="s">
        <v>7</v>
      </c>
      <c r="H11" s="20"/>
      <c r="I11" s="20"/>
      <c r="J11" s="21" t="s">
        <v>50</v>
      </c>
    </row>
    <row r="12" customFormat="false" ht="46.25" hidden="false" customHeight="false" outlineLevel="0" collapsed="false">
      <c r="A12" s="17" t="s">
        <v>277</v>
      </c>
      <c r="B12" s="18" t="s">
        <v>166</v>
      </c>
      <c r="C12" s="18" t="s">
        <v>232</v>
      </c>
      <c r="D12" s="19" t="s">
        <v>278</v>
      </c>
      <c r="E12" s="18" t="s">
        <v>279</v>
      </c>
      <c r="F12" s="18" t="s">
        <v>280</v>
      </c>
      <c r="G12" s="17" t="s">
        <v>5</v>
      </c>
      <c r="H12" s="20"/>
      <c r="I12" s="20"/>
      <c r="J12" s="21" t="s">
        <v>50</v>
      </c>
    </row>
    <row r="13" customFormat="false" ht="35.05" hidden="false" customHeight="false" outlineLevel="0" collapsed="false">
      <c r="A13" s="17" t="s">
        <v>281</v>
      </c>
      <c r="B13" s="18" t="s">
        <v>282</v>
      </c>
      <c r="C13" s="18" t="s">
        <v>68</v>
      </c>
      <c r="D13" s="19" t="s">
        <v>283</v>
      </c>
      <c r="E13" s="18" t="s">
        <v>284</v>
      </c>
      <c r="F13" s="18" t="s">
        <v>285</v>
      </c>
      <c r="G13" s="17" t="s">
        <v>6</v>
      </c>
      <c r="H13" s="20"/>
      <c r="I13" s="20"/>
      <c r="J13" s="21" t="s">
        <v>50</v>
      </c>
    </row>
    <row r="14" customFormat="false" ht="23.85" hidden="false" customHeight="false" outlineLevel="0" collapsed="false">
      <c r="A14" s="17" t="s">
        <v>286</v>
      </c>
      <c r="B14" s="18" t="s">
        <v>190</v>
      </c>
      <c r="C14" s="18" t="s">
        <v>171</v>
      </c>
      <c r="D14" s="19" t="s">
        <v>287</v>
      </c>
      <c r="E14" s="18" t="s">
        <v>288</v>
      </c>
      <c r="F14" s="18" t="s">
        <v>243</v>
      </c>
      <c r="G14" s="17" t="s">
        <v>7</v>
      </c>
      <c r="H14" s="20"/>
      <c r="I14" s="20"/>
      <c r="J14" s="21" t="s">
        <v>50</v>
      </c>
    </row>
  </sheetData>
  <autoFilter ref="A4:J14"/>
  <conditionalFormatting sqref="G5:G14">
    <cfRule type="cellIs" priority="2" operator="equal" aboveAverage="0" equalAverage="0" bottom="0" percent="0" rank="0" text="" dxfId="10">
      <formula>"Alta"</formula>
    </cfRule>
    <cfRule type="cellIs" priority="3" operator="equal" aboveAverage="0" equalAverage="0" bottom="0" percent="0" rank="0" text="" dxfId="11">
      <formula>"Média"</formula>
    </cfRule>
    <cfRule type="cellIs" priority="4" operator="equal" aboveAverage="0" equalAverage="0" bottom="0" percent="0" rank="0" text="" dxfId="12">
      <formula>"Baixa"</formula>
    </cfRule>
  </conditionalFormatting>
  <conditionalFormatting sqref="J5:J14">
    <cfRule type="cellIs" priority="5" operator="equal" aboveAverage="0" equalAverage="0" bottom="0" percent="0" rank="0" text="" dxfId="13">
      <formula>"Respondida"</formula>
    </cfRule>
  </conditionalFormatting>
  <dataValidations count="2">
    <dataValidation allowBlank="false" errorStyle="stop" operator="between" showDropDown="false" showErrorMessage="false" showInputMessage="false" sqref="G5:G14" type="list">
      <formula1>"Alta,Média,Baixa"</formula1>
      <formula2>0</formula2>
    </dataValidation>
    <dataValidation allowBlank="false" errorStyle="stop" operator="between" showDropDown="false" showErrorMessage="false" showInputMessage="false" sqref="J5:J14" type="list">
      <formula1>"Pendente,Em análise,Respondida"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45"/>
    <col collapsed="false" customWidth="true" hidden="false" outlineLevel="0" max="9" min="9" style="0" width="18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289</v>
      </c>
    </row>
    <row r="2" customFormat="false" ht="15" hidden="false" customHeight="false" outlineLevel="0" collapsed="false">
      <c r="A2" s="15" t="s">
        <v>35</v>
      </c>
    </row>
    <row r="4" customFormat="false" ht="30" hidden="false" customHeight="true" outlineLevel="0" collapsed="false">
      <c r="A4" s="16" t="s">
        <v>36</v>
      </c>
      <c r="B4" s="16" t="s">
        <v>37</v>
      </c>
      <c r="C4" s="16" t="s">
        <v>38</v>
      </c>
      <c r="D4" s="16" t="s">
        <v>39</v>
      </c>
      <c r="E4" s="16" t="s">
        <v>40</v>
      </c>
      <c r="F4" s="16" t="s">
        <v>41</v>
      </c>
      <c r="G4" s="16" t="s">
        <v>28</v>
      </c>
      <c r="H4" s="16" t="s">
        <v>42</v>
      </c>
      <c r="I4" s="16" t="s">
        <v>43</v>
      </c>
      <c r="J4" s="16" t="s">
        <v>26</v>
      </c>
    </row>
    <row r="5" customFormat="false" ht="35.05" hidden="false" customHeight="false" outlineLevel="0" collapsed="false">
      <c r="A5" s="17" t="s">
        <v>290</v>
      </c>
      <c r="B5" s="18" t="s">
        <v>19</v>
      </c>
      <c r="C5" s="18" t="s">
        <v>152</v>
      </c>
      <c r="D5" s="19" t="s">
        <v>291</v>
      </c>
      <c r="E5" s="18" t="s">
        <v>292</v>
      </c>
      <c r="F5" s="18" t="s">
        <v>293</v>
      </c>
      <c r="G5" s="17" t="s">
        <v>5</v>
      </c>
      <c r="H5" s="20"/>
      <c r="I5" s="20"/>
      <c r="J5" s="21" t="s">
        <v>50</v>
      </c>
    </row>
    <row r="6" customFormat="false" ht="35.05" hidden="false" customHeight="false" outlineLevel="0" collapsed="false">
      <c r="A6" s="17" t="s">
        <v>294</v>
      </c>
      <c r="B6" s="18" t="s">
        <v>19</v>
      </c>
      <c r="C6" s="18" t="s">
        <v>295</v>
      </c>
      <c r="D6" s="19" t="s">
        <v>296</v>
      </c>
      <c r="E6" s="18" t="s">
        <v>297</v>
      </c>
      <c r="F6" s="18" t="s">
        <v>298</v>
      </c>
      <c r="G6" s="17" t="s">
        <v>5</v>
      </c>
      <c r="H6" s="20"/>
      <c r="I6" s="20"/>
      <c r="J6" s="21" t="s">
        <v>50</v>
      </c>
    </row>
    <row r="7" customFormat="false" ht="35.05" hidden="false" customHeight="false" outlineLevel="0" collapsed="false">
      <c r="A7" s="17" t="s">
        <v>299</v>
      </c>
      <c r="B7" s="18" t="s">
        <v>19</v>
      </c>
      <c r="C7" s="18" t="s">
        <v>171</v>
      </c>
      <c r="D7" s="19" t="s">
        <v>300</v>
      </c>
      <c r="E7" s="18" t="s">
        <v>301</v>
      </c>
      <c r="F7" s="18" t="s">
        <v>302</v>
      </c>
      <c r="G7" s="17" t="s">
        <v>6</v>
      </c>
      <c r="H7" s="20"/>
      <c r="I7" s="20"/>
      <c r="J7" s="21" t="s">
        <v>50</v>
      </c>
    </row>
    <row r="8" customFormat="false" ht="35.05" hidden="false" customHeight="false" outlineLevel="0" collapsed="false">
      <c r="A8" s="17" t="s">
        <v>303</v>
      </c>
      <c r="B8" s="18" t="s">
        <v>19</v>
      </c>
      <c r="C8" s="18" t="s">
        <v>171</v>
      </c>
      <c r="D8" s="19" t="s">
        <v>304</v>
      </c>
      <c r="E8" s="18" t="s">
        <v>305</v>
      </c>
      <c r="F8" s="18" t="s">
        <v>306</v>
      </c>
      <c r="G8" s="17" t="s">
        <v>6</v>
      </c>
      <c r="H8" s="20"/>
      <c r="I8" s="20"/>
      <c r="J8" s="21" t="s">
        <v>50</v>
      </c>
    </row>
    <row r="9" customFormat="false" ht="23.85" hidden="false" customHeight="false" outlineLevel="0" collapsed="false">
      <c r="A9" s="17" t="s">
        <v>307</v>
      </c>
      <c r="B9" s="18" t="s">
        <v>19</v>
      </c>
      <c r="C9" s="18" t="s">
        <v>101</v>
      </c>
      <c r="D9" s="19" t="s">
        <v>308</v>
      </c>
      <c r="E9" s="18" t="s">
        <v>309</v>
      </c>
      <c r="F9" s="18" t="s">
        <v>310</v>
      </c>
      <c r="G9" s="17" t="s">
        <v>7</v>
      </c>
      <c r="H9" s="20"/>
      <c r="I9" s="20"/>
      <c r="J9" s="21" t="s">
        <v>50</v>
      </c>
    </row>
    <row r="10" customFormat="false" ht="23.85" hidden="false" customHeight="false" outlineLevel="0" collapsed="false">
      <c r="A10" s="17" t="s">
        <v>311</v>
      </c>
      <c r="B10" s="18" t="s">
        <v>19</v>
      </c>
      <c r="C10" s="18" t="s">
        <v>68</v>
      </c>
      <c r="D10" s="19" t="s">
        <v>312</v>
      </c>
      <c r="E10" s="18" t="s">
        <v>313</v>
      </c>
      <c r="F10" s="18" t="s">
        <v>314</v>
      </c>
      <c r="G10" s="17" t="s">
        <v>6</v>
      </c>
      <c r="H10" s="20"/>
      <c r="I10" s="20"/>
      <c r="J10" s="21" t="s">
        <v>50</v>
      </c>
    </row>
    <row r="11" customFormat="false" ht="35.05" hidden="false" customHeight="false" outlineLevel="0" collapsed="false">
      <c r="A11" s="17" t="s">
        <v>315</v>
      </c>
      <c r="B11" s="18" t="s">
        <v>19</v>
      </c>
      <c r="C11" s="18" t="s">
        <v>68</v>
      </c>
      <c r="D11" s="19" t="s">
        <v>316</v>
      </c>
      <c r="E11" s="18" t="s">
        <v>317</v>
      </c>
      <c r="F11" s="18" t="s">
        <v>318</v>
      </c>
      <c r="G11" s="17" t="s">
        <v>7</v>
      </c>
      <c r="H11" s="20"/>
      <c r="I11" s="20"/>
      <c r="J11" s="21" t="s">
        <v>50</v>
      </c>
    </row>
    <row r="12" customFormat="false" ht="23.85" hidden="false" customHeight="false" outlineLevel="0" collapsed="false">
      <c r="A12" s="17" t="s">
        <v>319</v>
      </c>
      <c r="B12" s="18" t="s">
        <v>19</v>
      </c>
      <c r="C12" s="18" t="s">
        <v>152</v>
      </c>
      <c r="D12" s="19" t="s">
        <v>320</v>
      </c>
      <c r="E12" s="18" t="s">
        <v>321</v>
      </c>
      <c r="F12" s="18" t="s">
        <v>322</v>
      </c>
      <c r="G12" s="17" t="s">
        <v>6</v>
      </c>
      <c r="H12" s="20"/>
      <c r="I12" s="20"/>
      <c r="J12" s="21" t="s">
        <v>50</v>
      </c>
    </row>
  </sheetData>
  <autoFilter ref="A4:J12"/>
  <conditionalFormatting sqref="G5:G12">
    <cfRule type="cellIs" priority="2" operator="equal" aboveAverage="0" equalAverage="0" bottom="0" percent="0" rank="0" text="" dxfId="10">
      <formula>"Alta"</formula>
    </cfRule>
    <cfRule type="cellIs" priority="3" operator="equal" aboveAverage="0" equalAverage="0" bottom="0" percent="0" rank="0" text="" dxfId="11">
      <formula>"Média"</formula>
    </cfRule>
    <cfRule type="cellIs" priority="4" operator="equal" aboveAverage="0" equalAverage="0" bottom="0" percent="0" rank="0" text="" dxfId="12">
      <formula>"Baixa"</formula>
    </cfRule>
  </conditionalFormatting>
  <conditionalFormatting sqref="J5:J12">
    <cfRule type="cellIs" priority="5" operator="equal" aboveAverage="0" equalAverage="0" bottom="0" percent="0" rank="0" text="" dxfId="13">
      <formula>"Respondida"</formula>
    </cfRule>
  </conditionalFormatting>
  <dataValidations count="2">
    <dataValidation allowBlank="false" errorStyle="stop" operator="between" showDropDown="false" showErrorMessage="false" showInputMessage="false" sqref="G5:G12" type="list">
      <formula1>"Alta,Média,Baixa"</formula1>
      <formula2>0</formula2>
    </dataValidation>
    <dataValidation allowBlank="false" errorStyle="stop" operator="between" showDropDown="false" showErrorMessage="false" showInputMessage="false" sqref="J5:J12" type="list">
      <formula1>"Pendente,Em análise,Respondida"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45"/>
    <col collapsed="false" customWidth="true" hidden="false" outlineLevel="0" max="9" min="9" style="0" width="18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15" t="s">
        <v>35</v>
      </c>
    </row>
    <row r="4" customFormat="false" ht="30" hidden="false" customHeight="true" outlineLevel="0" collapsed="false">
      <c r="A4" s="16" t="s">
        <v>36</v>
      </c>
      <c r="B4" s="16" t="s">
        <v>37</v>
      </c>
      <c r="C4" s="16" t="s">
        <v>38</v>
      </c>
      <c r="D4" s="16" t="s">
        <v>39</v>
      </c>
      <c r="E4" s="16" t="s">
        <v>40</v>
      </c>
      <c r="F4" s="16" t="s">
        <v>41</v>
      </c>
      <c r="G4" s="16" t="s">
        <v>28</v>
      </c>
      <c r="H4" s="16" t="s">
        <v>42</v>
      </c>
      <c r="I4" s="16" t="s">
        <v>43</v>
      </c>
      <c r="J4" s="16" t="s">
        <v>26</v>
      </c>
    </row>
    <row r="5" customFormat="false" ht="23.85" hidden="false" customHeight="false" outlineLevel="0" collapsed="false">
      <c r="A5" s="17" t="s">
        <v>324</v>
      </c>
      <c r="B5" s="18" t="s">
        <v>325</v>
      </c>
      <c r="C5" s="18" t="s">
        <v>46</v>
      </c>
      <c r="D5" s="19" t="s">
        <v>326</v>
      </c>
      <c r="E5" s="18" t="s">
        <v>327</v>
      </c>
      <c r="F5" s="18" t="s">
        <v>328</v>
      </c>
      <c r="G5" s="17" t="s">
        <v>6</v>
      </c>
      <c r="H5" s="20"/>
      <c r="I5" s="20"/>
      <c r="J5" s="21" t="s">
        <v>50</v>
      </c>
    </row>
    <row r="6" customFormat="false" ht="35.05" hidden="false" customHeight="false" outlineLevel="0" collapsed="false">
      <c r="A6" s="17" t="s">
        <v>329</v>
      </c>
      <c r="B6" s="18" t="s">
        <v>325</v>
      </c>
      <c r="C6" s="18" t="s">
        <v>152</v>
      </c>
      <c r="D6" s="19" t="s">
        <v>330</v>
      </c>
      <c r="E6" s="18" t="s">
        <v>331</v>
      </c>
      <c r="F6" s="18" t="s">
        <v>332</v>
      </c>
      <c r="G6" s="17" t="s">
        <v>5</v>
      </c>
      <c r="H6" s="20"/>
      <c r="I6" s="20"/>
      <c r="J6" s="21" t="s">
        <v>50</v>
      </c>
    </row>
    <row r="7" customFormat="false" ht="23.85" hidden="false" customHeight="false" outlineLevel="0" collapsed="false">
      <c r="A7" s="17" t="s">
        <v>333</v>
      </c>
      <c r="B7" s="18" t="s">
        <v>325</v>
      </c>
      <c r="C7" s="18" t="s">
        <v>152</v>
      </c>
      <c r="D7" s="19" t="s">
        <v>334</v>
      </c>
      <c r="E7" s="18" t="s">
        <v>335</v>
      </c>
      <c r="F7" s="18" t="s">
        <v>336</v>
      </c>
      <c r="G7" s="17" t="s">
        <v>6</v>
      </c>
      <c r="H7" s="20"/>
      <c r="I7" s="20"/>
      <c r="J7" s="21" t="s">
        <v>50</v>
      </c>
    </row>
    <row r="8" customFormat="false" ht="23.85" hidden="false" customHeight="false" outlineLevel="0" collapsed="false">
      <c r="A8" s="17" t="s">
        <v>337</v>
      </c>
      <c r="B8" s="18" t="s">
        <v>325</v>
      </c>
      <c r="C8" s="18" t="s">
        <v>101</v>
      </c>
      <c r="D8" s="19" t="s">
        <v>338</v>
      </c>
      <c r="E8" s="18" t="s">
        <v>339</v>
      </c>
      <c r="F8" s="18" t="s">
        <v>310</v>
      </c>
      <c r="G8" s="17" t="s">
        <v>7</v>
      </c>
      <c r="H8" s="20"/>
      <c r="I8" s="20"/>
      <c r="J8" s="21" t="s">
        <v>50</v>
      </c>
    </row>
    <row r="9" customFormat="false" ht="35.05" hidden="false" customHeight="false" outlineLevel="0" collapsed="false">
      <c r="A9" s="17" t="s">
        <v>340</v>
      </c>
      <c r="B9" s="18" t="s">
        <v>325</v>
      </c>
      <c r="C9" s="18" t="s">
        <v>101</v>
      </c>
      <c r="D9" s="19" t="s">
        <v>341</v>
      </c>
      <c r="E9" s="18" t="s">
        <v>342</v>
      </c>
      <c r="F9" s="18" t="s">
        <v>343</v>
      </c>
      <c r="G9" s="17" t="s">
        <v>6</v>
      </c>
      <c r="H9" s="20"/>
      <c r="I9" s="20"/>
      <c r="J9" s="21" t="s">
        <v>50</v>
      </c>
    </row>
  </sheetData>
  <autoFilter ref="A4:J9"/>
  <conditionalFormatting sqref="G5:G9">
    <cfRule type="cellIs" priority="2" operator="equal" aboveAverage="0" equalAverage="0" bottom="0" percent="0" rank="0" text="" dxfId="10">
      <formula>"Alta"</formula>
    </cfRule>
    <cfRule type="cellIs" priority="3" operator="equal" aboveAverage="0" equalAverage="0" bottom="0" percent="0" rank="0" text="" dxfId="11">
      <formula>"Média"</formula>
    </cfRule>
    <cfRule type="cellIs" priority="4" operator="equal" aboveAverage="0" equalAverage="0" bottom="0" percent="0" rank="0" text="" dxfId="12">
      <formula>"Baixa"</formula>
    </cfRule>
  </conditionalFormatting>
  <conditionalFormatting sqref="J5:J9">
    <cfRule type="cellIs" priority="5" operator="equal" aboveAverage="0" equalAverage="0" bottom="0" percent="0" rank="0" text="" dxfId="13">
      <formula>"Respondida"</formula>
    </cfRule>
  </conditionalFormatting>
  <dataValidations count="2">
    <dataValidation allowBlank="false" errorStyle="stop" operator="between" showDropDown="false" showErrorMessage="false" showInputMessage="false" sqref="G5:G9" type="list">
      <formula1>"Alta,Média,Baixa"</formula1>
      <formula2>0</formula2>
    </dataValidation>
    <dataValidation allowBlank="false" errorStyle="stop" operator="between" showDropDown="false" showErrorMessage="false" showInputMessage="false" sqref="J5:J9" type="list">
      <formula1>"Pendente,Em análise,Respondida"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2026-09-25T14:41:44Z</dcterms:created>
  <dc:creator>openpyxl</dc:creator>
  <dc:description/>
  <dc:language>en-US</dc:language>
  <cp:lastModifiedBy/>
  <dcterms:modified xsi:type="dcterms:W3CDTF">2026-09-25T14:41:44Z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